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a15602f47bfa04/Desktop/"/>
    </mc:Choice>
  </mc:AlternateContent>
  <xr:revisionPtr revIDLastSave="10" documentId="8_{185B8EFD-619D-4EAD-B373-2D1D48BC4017}" xr6:coauthVersionLast="47" xr6:coauthVersionMax="47" xr10:uidLastSave="{1054C832-5FA5-4000-A676-B1DF2F65A535}"/>
  <bookViews>
    <workbookView xWindow="-98" yWindow="-98" windowWidth="19396" windowHeight="11475" tabRatio="500" xr2:uid="{00000000-000D-0000-FFFF-FFFF00000000}"/>
  </bookViews>
  <sheets>
    <sheet name="1_Raw_Data" sheetId="1" r:id="rId1"/>
    <sheet name="2_Computed_Variab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4" i="2" l="1"/>
  <c r="H104" i="2"/>
  <c r="G104" i="2"/>
  <c r="F104" i="2"/>
  <c r="E104" i="2"/>
  <c r="C104" i="2"/>
  <c r="D104" i="2" s="1"/>
  <c r="B104" i="2"/>
  <c r="A104" i="2"/>
  <c r="I103" i="2"/>
  <c r="H103" i="2"/>
  <c r="G103" i="2"/>
  <c r="F103" i="2"/>
  <c r="E103" i="2"/>
  <c r="B103" i="2"/>
  <c r="C102" i="2" s="1"/>
  <c r="D102" i="2" s="1"/>
  <c r="A103" i="2"/>
  <c r="I102" i="2"/>
  <c r="H102" i="2"/>
  <c r="G102" i="2"/>
  <c r="F102" i="2"/>
  <c r="E102" i="2"/>
  <c r="B102" i="2"/>
  <c r="C101" i="2" s="1"/>
  <c r="D101" i="2" s="1"/>
  <c r="A102" i="2"/>
  <c r="I101" i="2"/>
  <c r="H101" i="2"/>
  <c r="G101" i="2"/>
  <c r="F101" i="2"/>
  <c r="E101" i="2"/>
  <c r="B101" i="2"/>
  <c r="C100" i="2" s="1"/>
  <c r="D100" i="2" s="1"/>
  <c r="A101" i="2"/>
  <c r="I100" i="2"/>
  <c r="H100" i="2"/>
  <c r="G100" i="2"/>
  <c r="F100" i="2"/>
  <c r="E100" i="2"/>
  <c r="B100" i="2"/>
  <c r="C99" i="2" s="1"/>
  <c r="D99" i="2" s="1"/>
  <c r="A100" i="2"/>
  <c r="I99" i="2"/>
  <c r="H99" i="2"/>
  <c r="G99" i="2"/>
  <c r="F99" i="2"/>
  <c r="E99" i="2"/>
  <c r="B99" i="2"/>
  <c r="C98" i="2" s="1"/>
  <c r="D98" i="2" s="1"/>
  <c r="A99" i="2"/>
  <c r="I98" i="2"/>
  <c r="H98" i="2"/>
  <c r="G98" i="2"/>
  <c r="F98" i="2"/>
  <c r="E98" i="2"/>
  <c r="B98" i="2"/>
  <c r="C97" i="2" s="1"/>
  <c r="D97" i="2" s="1"/>
  <c r="A98" i="2"/>
  <c r="I97" i="2"/>
  <c r="H97" i="2"/>
  <c r="G97" i="2"/>
  <c r="F97" i="2"/>
  <c r="E97" i="2"/>
  <c r="B97" i="2"/>
  <c r="C96" i="2" s="1"/>
  <c r="D96" i="2" s="1"/>
  <c r="A97" i="2"/>
  <c r="I96" i="2"/>
  <c r="H96" i="2"/>
  <c r="G96" i="2"/>
  <c r="F96" i="2"/>
  <c r="E96" i="2"/>
  <c r="B96" i="2"/>
  <c r="C95" i="2" s="1"/>
  <c r="D95" i="2" s="1"/>
  <c r="A96" i="2"/>
  <c r="I95" i="2"/>
  <c r="H95" i="2"/>
  <c r="G95" i="2"/>
  <c r="F95" i="2"/>
  <c r="E95" i="2"/>
  <c r="B95" i="2"/>
  <c r="C94" i="2" s="1"/>
  <c r="D94" i="2" s="1"/>
  <c r="A95" i="2"/>
  <c r="I94" i="2"/>
  <c r="H94" i="2"/>
  <c r="G94" i="2"/>
  <c r="F94" i="2"/>
  <c r="E94" i="2"/>
  <c r="B94" i="2"/>
  <c r="C93" i="2" s="1"/>
  <c r="D93" i="2" s="1"/>
  <c r="A94" i="2"/>
  <c r="I93" i="2"/>
  <c r="H93" i="2"/>
  <c r="G93" i="2"/>
  <c r="F93" i="2"/>
  <c r="E93" i="2"/>
  <c r="B93" i="2"/>
  <c r="C92" i="2" s="1"/>
  <c r="D92" i="2" s="1"/>
  <c r="A93" i="2"/>
  <c r="I92" i="2"/>
  <c r="H92" i="2"/>
  <c r="G92" i="2"/>
  <c r="F92" i="2"/>
  <c r="E92" i="2"/>
  <c r="B92" i="2"/>
  <c r="C91" i="2" s="1"/>
  <c r="D91" i="2" s="1"/>
  <c r="A92" i="2"/>
  <c r="I91" i="2"/>
  <c r="H91" i="2"/>
  <c r="G91" i="2"/>
  <c r="F91" i="2"/>
  <c r="E91" i="2"/>
  <c r="B91" i="2"/>
  <c r="C90" i="2" s="1"/>
  <c r="D90" i="2" s="1"/>
  <c r="A91" i="2"/>
  <c r="I90" i="2"/>
  <c r="H90" i="2"/>
  <c r="G90" i="2"/>
  <c r="F90" i="2"/>
  <c r="E90" i="2"/>
  <c r="B90" i="2"/>
  <c r="C89" i="2" s="1"/>
  <c r="D89" i="2" s="1"/>
  <c r="A90" i="2"/>
  <c r="I89" i="2"/>
  <c r="H89" i="2"/>
  <c r="G89" i="2"/>
  <c r="F89" i="2"/>
  <c r="E89" i="2"/>
  <c r="B89" i="2"/>
  <c r="C88" i="2" s="1"/>
  <c r="D88" i="2" s="1"/>
  <c r="A89" i="2"/>
  <c r="I88" i="2"/>
  <c r="H88" i="2"/>
  <c r="G88" i="2"/>
  <c r="F88" i="2"/>
  <c r="E88" i="2"/>
  <c r="B88" i="2"/>
  <c r="A88" i="2"/>
  <c r="I87" i="2"/>
  <c r="H87" i="2"/>
  <c r="G87" i="2"/>
  <c r="F87" i="2"/>
  <c r="E87" i="2"/>
  <c r="C87" i="2"/>
  <c r="D87" i="2" s="1"/>
  <c r="B87" i="2"/>
  <c r="C86" i="2" s="1"/>
  <c r="D86" i="2" s="1"/>
  <c r="A87" i="2"/>
  <c r="I86" i="2"/>
  <c r="H86" i="2"/>
  <c r="G86" i="2"/>
  <c r="F86" i="2"/>
  <c r="E86" i="2"/>
  <c r="B86" i="2"/>
  <c r="C85" i="2" s="1"/>
  <c r="D85" i="2" s="1"/>
  <c r="A86" i="2"/>
  <c r="I85" i="2"/>
  <c r="H85" i="2"/>
  <c r="G85" i="2"/>
  <c r="F85" i="2"/>
  <c r="E85" i="2"/>
  <c r="B85" i="2"/>
  <c r="C84" i="2" s="1"/>
  <c r="D84" i="2" s="1"/>
  <c r="A85" i="2"/>
  <c r="I84" i="2"/>
  <c r="H84" i="2"/>
  <c r="G84" i="2"/>
  <c r="F84" i="2"/>
  <c r="E84" i="2"/>
  <c r="B84" i="2"/>
  <c r="C83" i="2" s="1"/>
  <c r="D83" i="2" s="1"/>
  <c r="A84" i="2"/>
  <c r="I83" i="2"/>
  <c r="H83" i="2"/>
  <c r="G83" i="2"/>
  <c r="F83" i="2"/>
  <c r="E83" i="2"/>
  <c r="B83" i="2"/>
  <c r="C82" i="2" s="1"/>
  <c r="D82" i="2" s="1"/>
  <c r="A83" i="2"/>
  <c r="I82" i="2"/>
  <c r="H82" i="2"/>
  <c r="G82" i="2"/>
  <c r="F82" i="2"/>
  <c r="E82" i="2"/>
  <c r="B82" i="2"/>
  <c r="C81" i="2" s="1"/>
  <c r="D81" i="2" s="1"/>
  <c r="A82" i="2"/>
  <c r="I81" i="2"/>
  <c r="H81" i="2"/>
  <c r="G81" i="2"/>
  <c r="F81" i="2"/>
  <c r="E81" i="2"/>
  <c r="B81" i="2"/>
  <c r="C80" i="2" s="1"/>
  <c r="D80" i="2" s="1"/>
  <c r="A81" i="2"/>
  <c r="I80" i="2"/>
  <c r="H80" i="2"/>
  <c r="G80" i="2"/>
  <c r="F80" i="2"/>
  <c r="E80" i="2"/>
  <c r="B80" i="2"/>
  <c r="A80" i="2"/>
  <c r="I79" i="2"/>
  <c r="H79" i="2"/>
  <c r="G79" i="2"/>
  <c r="F79" i="2"/>
  <c r="E79" i="2"/>
  <c r="C79" i="2"/>
  <c r="D79" i="2" s="1"/>
  <c r="B79" i="2"/>
  <c r="C78" i="2" s="1"/>
  <c r="D78" i="2" s="1"/>
  <c r="A79" i="2"/>
  <c r="I78" i="2"/>
  <c r="H78" i="2"/>
  <c r="G78" i="2"/>
  <c r="F78" i="2"/>
  <c r="E78" i="2"/>
  <c r="B78" i="2"/>
  <c r="C77" i="2" s="1"/>
  <c r="D77" i="2" s="1"/>
  <c r="A78" i="2"/>
  <c r="I77" i="2"/>
  <c r="H77" i="2"/>
  <c r="G77" i="2"/>
  <c r="F77" i="2"/>
  <c r="E77" i="2"/>
  <c r="B77" i="2"/>
  <c r="C76" i="2" s="1"/>
  <c r="D76" i="2" s="1"/>
  <c r="A77" i="2"/>
  <c r="I76" i="2"/>
  <c r="H76" i="2"/>
  <c r="G76" i="2"/>
  <c r="F76" i="2"/>
  <c r="E76" i="2"/>
  <c r="B76" i="2"/>
  <c r="C75" i="2" s="1"/>
  <c r="D75" i="2" s="1"/>
  <c r="A76" i="2"/>
  <c r="I75" i="2"/>
  <c r="H75" i="2"/>
  <c r="G75" i="2"/>
  <c r="F75" i="2"/>
  <c r="E75" i="2"/>
  <c r="B75" i="2"/>
  <c r="C74" i="2" s="1"/>
  <c r="D74" i="2" s="1"/>
  <c r="A75" i="2"/>
  <c r="I74" i="2"/>
  <c r="H74" i="2"/>
  <c r="G74" i="2"/>
  <c r="F74" i="2"/>
  <c r="E74" i="2"/>
  <c r="B74" i="2"/>
  <c r="C73" i="2" s="1"/>
  <c r="D73" i="2" s="1"/>
  <c r="A74" i="2"/>
  <c r="I73" i="2"/>
  <c r="H73" i="2"/>
  <c r="G73" i="2"/>
  <c r="F73" i="2"/>
  <c r="E73" i="2"/>
  <c r="B73" i="2"/>
  <c r="C72" i="2" s="1"/>
  <c r="D72" i="2" s="1"/>
  <c r="A73" i="2"/>
  <c r="I72" i="2"/>
  <c r="H72" i="2"/>
  <c r="G72" i="2"/>
  <c r="F72" i="2"/>
  <c r="E72" i="2"/>
  <c r="B72" i="2"/>
  <c r="C71" i="2" s="1"/>
  <c r="D71" i="2" s="1"/>
  <c r="A72" i="2"/>
  <c r="I71" i="2"/>
  <c r="H71" i="2"/>
  <c r="G71" i="2"/>
  <c r="F71" i="2"/>
  <c r="E71" i="2"/>
  <c r="B71" i="2"/>
  <c r="C70" i="2" s="1"/>
  <c r="D70" i="2" s="1"/>
  <c r="A71" i="2"/>
  <c r="I70" i="2"/>
  <c r="H70" i="2"/>
  <c r="G70" i="2"/>
  <c r="F70" i="2"/>
  <c r="E70" i="2"/>
  <c r="B70" i="2"/>
  <c r="C69" i="2" s="1"/>
  <c r="D69" i="2" s="1"/>
  <c r="A70" i="2"/>
  <c r="I69" i="2"/>
  <c r="H69" i="2"/>
  <c r="G69" i="2"/>
  <c r="F69" i="2"/>
  <c r="E69" i="2"/>
  <c r="B69" i="2"/>
  <c r="C68" i="2" s="1"/>
  <c r="D68" i="2" s="1"/>
  <c r="A69" i="2"/>
  <c r="I68" i="2"/>
  <c r="H68" i="2"/>
  <c r="G68" i="2"/>
  <c r="F68" i="2"/>
  <c r="E68" i="2"/>
  <c r="B68" i="2"/>
  <c r="A68" i="2"/>
  <c r="I67" i="2"/>
  <c r="H67" i="2"/>
  <c r="G67" i="2"/>
  <c r="F67" i="2"/>
  <c r="E67" i="2"/>
  <c r="C67" i="2"/>
  <c r="D67" i="2" s="1"/>
  <c r="B67" i="2"/>
  <c r="A67" i="2"/>
  <c r="I66" i="2"/>
  <c r="H66" i="2"/>
  <c r="G66" i="2"/>
  <c r="F66" i="2"/>
  <c r="E66" i="2"/>
  <c r="C66" i="2"/>
  <c r="D66" i="2" s="1"/>
  <c r="B66" i="2"/>
  <c r="A66" i="2"/>
  <c r="I65" i="2"/>
  <c r="H65" i="2"/>
  <c r="G65" i="2"/>
  <c r="F65" i="2"/>
  <c r="E65" i="2"/>
  <c r="C65" i="2"/>
  <c r="D65" i="2" s="1"/>
  <c r="B65" i="2"/>
  <c r="C64" i="2" s="1"/>
  <c r="D64" i="2" s="1"/>
  <c r="A65" i="2"/>
  <c r="I64" i="2"/>
  <c r="H64" i="2"/>
  <c r="G64" i="2"/>
  <c r="F64" i="2"/>
  <c r="E64" i="2"/>
  <c r="B64" i="2"/>
  <c r="C63" i="2" s="1"/>
  <c r="D63" i="2" s="1"/>
  <c r="A64" i="2"/>
  <c r="I63" i="2"/>
  <c r="H63" i="2"/>
  <c r="G63" i="2"/>
  <c r="F63" i="2"/>
  <c r="E63" i="2"/>
  <c r="B63" i="2"/>
  <c r="C62" i="2" s="1"/>
  <c r="D62" i="2" s="1"/>
  <c r="A63" i="2"/>
  <c r="I62" i="2"/>
  <c r="H62" i="2"/>
  <c r="G62" i="2"/>
  <c r="F62" i="2"/>
  <c r="E62" i="2"/>
  <c r="B62" i="2"/>
  <c r="A62" i="2"/>
  <c r="I61" i="2"/>
  <c r="H61" i="2"/>
  <c r="G61" i="2"/>
  <c r="F61" i="2"/>
  <c r="E61" i="2"/>
  <c r="C61" i="2"/>
  <c r="D61" i="2" s="1"/>
  <c r="B61" i="2"/>
  <c r="C60" i="2" s="1"/>
  <c r="D60" i="2" s="1"/>
  <c r="A61" i="2"/>
  <c r="I60" i="2"/>
  <c r="H60" i="2"/>
  <c r="G60" i="2"/>
  <c r="F60" i="2"/>
  <c r="E60" i="2"/>
  <c r="B60" i="2"/>
  <c r="C59" i="2" s="1"/>
  <c r="D59" i="2" s="1"/>
  <c r="A60" i="2"/>
  <c r="I59" i="2"/>
  <c r="H59" i="2"/>
  <c r="G59" i="2"/>
  <c r="F59" i="2"/>
  <c r="E59" i="2"/>
  <c r="B59" i="2"/>
  <c r="C58" i="2" s="1"/>
  <c r="D58" i="2" s="1"/>
  <c r="A59" i="2"/>
  <c r="I58" i="2"/>
  <c r="H58" i="2"/>
  <c r="G58" i="2"/>
  <c r="F58" i="2"/>
  <c r="E58" i="2"/>
  <c r="B58" i="2"/>
  <c r="C57" i="2" s="1"/>
  <c r="D57" i="2" s="1"/>
  <c r="A58" i="2"/>
  <c r="I57" i="2"/>
  <c r="H57" i="2"/>
  <c r="G57" i="2"/>
  <c r="F57" i="2"/>
  <c r="E57" i="2"/>
  <c r="B57" i="2"/>
  <c r="C56" i="2" s="1"/>
  <c r="D56" i="2" s="1"/>
  <c r="A57" i="2"/>
  <c r="I56" i="2"/>
  <c r="H56" i="2"/>
  <c r="G56" i="2"/>
  <c r="F56" i="2"/>
  <c r="E56" i="2"/>
  <c r="B56" i="2"/>
  <c r="C55" i="2" s="1"/>
  <c r="D55" i="2" s="1"/>
  <c r="A56" i="2"/>
  <c r="I55" i="2"/>
  <c r="H55" i="2"/>
  <c r="G55" i="2"/>
  <c r="F55" i="2"/>
  <c r="E55" i="2"/>
  <c r="B55" i="2"/>
  <c r="A55" i="2"/>
  <c r="I54" i="2"/>
  <c r="H54" i="2"/>
  <c r="G54" i="2"/>
  <c r="F54" i="2"/>
  <c r="E54" i="2"/>
  <c r="C54" i="2"/>
  <c r="D54" i="2" s="1"/>
  <c r="B54" i="2"/>
  <c r="A54" i="2"/>
  <c r="I53" i="2"/>
  <c r="H53" i="2"/>
  <c r="G53" i="2"/>
  <c r="F53" i="2"/>
  <c r="E53" i="2"/>
  <c r="C53" i="2"/>
  <c r="D53" i="2" s="1"/>
  <c r="B53" i="2"/>
  <c r="C52" i="2" s="1"/>
  <c r="D52" i="2" s="1"/>
  <c r="A53" i="2"/>
  <c r="I52" i="2"/>
  <c r="H52" i="2"/>
  <c r="G52" i="2"/>
  <c r="F52" i="2"/>
  <c r="E52" i="2"/>
  <c r="B52" i="2"/>
  <c r="C51" i="2" s="1"/>
  <c r="D51" i="2" s="1"/>
  <c r="A52" i="2"/>
  <c r="I51" i="2"/>
  <c r="H51" i="2"/>
  <c r="G51" i="2"/>
  <c r="F51" i="2"/>
  <c r="E51" i="2"/>
  <c r="B51" i="2"/>
  <c r="C50" i="2" s="1"/>
  <c r="D50" i="2" s="1"/>
  <c r="A51" i="2"/>
  <c r="I50" i="2"/>
  <c r="H50" i="2"/>
  <c r="G50" i="2"/>
  <c r="F50" i="2"/>
  <c r="E50" i="2"/>
  <c r="B50" i="2"/>
  <c r="C49" i="2" s="1"/>
  <c r="D49" i="2" s="1"/>
  <c r="A50" i="2"/>
  <c r="I49" i="2"/>
  <c r="H49" i="2"/>
  <c r="G49" i="2"/>
  <c r="F49" i="2"/>
  <c r="E49" i="2"/>
  <c r="B49" i="2"/>
  <c r="C48" i="2" s="1"/>
  <c r="D48" i="2" s="1"/>
  <c r="A49" i="2"/>
  <c r="I48" i="2"/>
  <c r="H48" i="2"/>
  <c r="G48" i="2"/>
  <c r="F48" i="2"/>
  <c r="E48" i="2"/>
  <c r="B48" i="2"/>
  <c r="C47" i="2" s="1"/>
  <c r="D47" i="2" s="1"/>
  <c r="A48" i="2"/>
  <c r="I47" i="2"/>
  <c r="H47" i="2"/>
  <c r="G47" i="2"/>
  <c r="F47" i="2"/>
  <c r="E47" i="2"/>
  <c r="B47" i="2"/>
  <c r="C46" i="2" s="1"/>
  <c r="D46" i="2" s="1"/>
  <c r="A47" i="2"/>
  <c r="I46" i="2"/>
  <c r="H46" i="2"/>
  <c r="G46" i="2"/>
  <c r="F46" i="2"/>
  <c r="E46" i="2"/>
  <c r="B46" i="2"/>
  <c r="C45" i="2" s="1"/>
  <c r="D45" i="2" s="1"/>
  <c r="A46" i="2"/>
  <c r="I45" i="2"/>
  <c r="H45" i="2"/>
  <c r="G45" i="2"/>
  <c r="F45" i="2"/>
  <c r="E45" i="2"/>
  <c r="B45" i="2"/>
  <c r="C44" i="2" s="1"/>
  <c r="D44" i="2" s="1"/>
  <c r="A45" i="2"/>
  <c r="I44" i="2"/>
  <c r="H44" i="2"/>
  <c r="G44" i="2"/>
  <c r="F44" i="2"/>
  <c r="E44" i="2"/>
  <c r="B44" i="2"/>
  <c r="C43" i="2" s="1"/>
  <c r="D43" i="2" s="1"/>
  <c r="A44" i="2"/>
  <c r="I43" i="2"/>
  <c r="H43" i="2"/>
  <c r="G43" i="2"/>
  <c r="F43" i="2"/>
  <c r="E43" i="2"/>
  <c r="B43" i="2"/>
  <c r="C42" i="2" s="1"/>
  <c r="D42" i="2" s="1"/>
  <c r="A43" i="2"/>
  <c r="I42" i="2"/>
  <c r="H42" i="2"/>
  <c r="G42" i="2"/>
  <c r="F42" i="2"/>
  <c r="E42" i="2"/>
  <c r="B42" i="2"/>
  <c r="C41" i="2" s="1"/>
  <c r="D41" i="2" s="1"/>
  <c r="A42" i="2"/>
  <c r="I41" i="2"/>
  <c r="H41" i="2"/>
  <c r="G41" i="2"/>
  <c r="F41" i="2"/>
  <c r="E41" i="2"/>
  <c r="B41" i="2"/>
  <c r="C40" i="2" s="1"/>
  <c r="D40" i="2" s="1"/>
  <c r="A41" i="2"/>
  <c r="I40" i="2"/>
  <c r="H40" i="2"/>
  <c r="G40" i="2"/>
  <c r="F40" i="2"/>
  <c r="E40" i="2"/>
  <c r="B40" i="2"/>
  <c r="C39" i="2" s="1"/>
  <c r="D39" i="2" s="1"/>
  <c r="A40" i="2"/>
  <c r="I39" i="2"/>
  <c r="H39" i="2"/>
  <c r="G39" i="2"/>
  <c r="F39" i="2"/>
  <c r="E39" i="2"/>
  <c r="B39" i="2"/>
  <c r="C38" i="2" s="1"/>
  <c r="D38" i="2" s="1"/>
  <c r="A39" i="2"/>
  <c r="I38" i="2"/>
  <c r="H38" i="2"/>
  <c r="G38" i="2"/>
  <c r="F38" i="2"/>
  <c r="E38" i="2"/>
  <c r="B38" i="2"/>
  <c r="C37" i="2" s="1"/>
  <c r="D37" i="2" s="1"/>
  <c r="A38" i="2"/>
  <c r="I37" i="2"/>
  <c r="H37" i="2"/>
  <c r="G37" i="2"/>
  <c r="F37" i="2"/>
  <c r="E37" i="2"/>
  <c r="B37" i="2"/>
  <c r="C36" i="2" s="1"/>
  <c r="D36" i="2" s="1"/>
  <c r="A37" i="2"/>
  <c r="I36" i="2"/>
  <c r="H36" i="2"/>
  <c r="G36" i="2"/>
  <c r="K36" i="2" s="1"/>
  <c r="F36" i="2"/>
  <c r="E36" i="2"/>
  <c r="B36" i="2"/>
  <c r="C35" i="2" s="1"/>
  <c r="D35" i="2" s="1"/>
  <c r="A36" i="2"/>
  <c r="I35" i="2"/>
  <c r="H35" i="2"/>
  <c r="G35" i="2"/>
  <c r="F35" i="2"/>
  <c r="E35" i="2"/>
  <c r="B35" i="2"/>
  <c r="C34" i="2" s="1"/>
  <c r="D34" i="2" s="1"/>
  <c r="A35" i="2"/>
  <c r="I34" i="2"/>
  <c r="H34" i="2"/>
  <c r="G34" i="2"/>
  <c r="F34" i="2"/>
  <c r="E34" i="2"/>
  <c r="B34" i="2"/>
  <c r="C33" i="2" s="1"/>
  <c r="D33" i="2" s="1"/>
  <c r="A34" i="2"/>
  <c r="I33" i="2"/>
  <c r="H33" i="2"/>
  <c r="G33" i="2"/>
  <c r="F33" i="2"/>
  <c r="E33" i="2"/>
  <c r="B33" i="2"/>
  <c r="C32" i="2" s="1"/>
  <c r="D32" i="2" s="1"/>
  <c r="A33" i="2"/>
  <c r="I32" i="2"/>
  <c r="H32" i="2"/>
  <c r="G32" i="2"/>
  <c r="F32" i="2"/>
  <c r="E32" i="2"/>
  <c r="B32" i="2"/>
  <c r="C31" i="2" s="1"/>
  <c r="D31" i="2" s="1"/>
  <c r="A32" i="2"/>
  <c r="I31" i="2"/>
  <c r="H31" i="2"/>
  <c r="G31" i="2"/>
  <c r="F31" i="2"/>
  <c r="E31" i="2"/>
  <c r="B31" i="2"/>
  <c r="C30" i="2" s="1"/>
  <c r="D30" i="2" s="1"/>
  <c r="A31" i="2"/>
  <c r="I30" i="2"/>
  <c r="H30" i="2"/>
  <c r="G30" i="2"/>
  <c r="F30" i="2"/>
  <c r="E30" i="2"/>
  <c r="B30" i="2"/>
  <c r="C29" i="2" s="1"/>
  <c r="D29" i="2" s="1"/>
  <c r="A30" i="2"/>
  <c r="I29" i="2"/>
  <c r="H29" i="2"/>
  <c r="G29" i="2"/>
  <c r="F29" i="2"/>
  <c r="E29" i="2"/>
  <c r="B29" i="2"/>
  <c r="C28" i="2" s="1"/>
  <c r="D28" i="2" s="1"/>
  <c r="A29" i="2"/>
  <c r="I28" i="2"/>
  <c r="H28" i="2"/>
  <c r="G28" i="2"/>
  <c r="F28" i="2"/>
  <c r="E28" i="2"/>
  <c r="B28" i="2"/>
  <c r="C27" i="2" s="1"/>
  <c r="D27" i="2" s="1"/>
  <c r="A28" i="2"/>
  <c r="I27" i="2"/>
  <c r="H27" i="2"/>
  <c r="G27" i="2"/>
  <c r="F27" i="2"/>
  <c r="E27" i="2"/>
  <c r="B27" i="2"/>
  <c r="C26" i="2" s="1"/>
  <c r="D26" i="2" s="1"/>
  <c r="A27" i="2"/>
  <c r="I26" i="2"/>
  <c r="H26" i="2"/>
  <c r="G26" i="2"/>
  <c r="F26" i="2"/>
  <c r="E26" i="2"/>
  <c r="B26" i="2"/>
  <c r="C25" i="2" s="1"/>
  <c r="D25" i="2" s="1"/>
  <c r="A26" i="2"/>
  <c r="I25" i="2"/>
  <c r="H25" i="2"/>
  <c r="G25" i="2"/>
  <c r="F25" i="2"/>
  <c r="E25" i="2"/>
  <c r="B25" i="2"/>
  <c r="C24" i="2" s="1"/>
  <c r="D24" i="2" s="1"/>
  <c r="A25" i="2"/>
  <c r="I24" i="2"/>
  <c r="H24" i="2"/>
  <c r="G24" i="2"/>
  <c r="F24" i="2"/>
  <c r="E24" i="2"/>
  <c r="B24" i="2"/>
  <c r="C23" i="2" s="1"/>
  <c r="D23" i="2" s="1"/>
  <c r="A24" i="2"/>
  <c r="I23" i="2"/>
  <c r="H23" i="2"/>
  <c r="G23" i="2"/>
  <c r="F23" i="2"/>
  <c r="E23" i="2"/>
  <c r="B23" i="2"/>
  <c r="C22" i="2" s="1"/>
  <c r="D22" i="2" s="1"/>
  <c r="A23" i="2"/>
  <c r="I22" i="2"/>
  <c r="H22" i="2"/>
  <c r="G22" i="2"/>
  <c r="F22" i="2"/>
  <c r="E22" i="2"/>
  <c r="B22" i="2"/>
  <c r="C21" i="2" s="1"/>
  <c r="D21" i="2" s="1"/>
  <c r="A22" i="2"/>
  <c r="I21" i="2"/>
  <c r="H21" i="2"/>
  <c r="G21" i="2"/>
  <c r="F21" i="2"/>
  <c r="E21" i="2"/>
  <c r="B21" i="2"/>
  <c r="C20" i="2" s="1"/>
  <c r="D20" i="2" s="1"/>
  <c r="A21" i="2"/>
  <c r="I20" i="2"/>
  <c r="H20" i="2"/>
  <c r="G20" i="2"/>
  <c r="F20" i="2"/>
  <c r="E20" i="2"/>
  <c r="B20" i="2"/>
  <c r="C19" i="2" s="1"/>
  <c r="D19" i="2" s="1"/>
  <c r="A20" i="2"/>
  <c r="I19" i="2"/>
  <c r="H19" i="2"/>
  <c r="G19" i="2"/>
  <c r="F19" i="2"/>
  <c r="E19" i="2"/>
  <c r="B19" i="2"/>
  <c r="C18" i="2" s="1"/>
  <c r="D18" i="2" s="1"/>
  <c r="A19" i="2"/>
  <c r="I18" i="2"/>
  <c r="H18" i="2"/>
  <c r="G18" i="2"/>
  <c r="K18" i="2" s="1"/>
  <c r="F18" i="2"/>
  <c r="E18" i="2"/>
  <c r="B18" i="2"/>
  <c r="C17" i="2" s="1"/>
  <c r="D17" i="2" s="1"/>
  <c r="A18" i="2"/>
  <c r="I17" i="2"/>
  <c r="H17" i="2"/>
  <c r="G17" i="2"/>
  <c r="F17" i="2"/>
  <c r="E17" i="2"/>
  <c r="B17" i="2"/>
  <c r="C16" i="2" s="1"/>
  <c r="D16" i="2" s="1"/>
  <c r="A17" i="2"/>
  <c r="I16" i="2"/>
  <c r="H16" i="2"/>
  <c r="G16" i="2"/>
  <c r="F16" i="2"/>
  <c r="E16" i="2"/>
  <c r="B16" i="2"/>
  <c r="C15" i="2" s="1"/>
  <c r="D15" i="2" s="1"/>
  <c r="A16" i="2"/>
  <c r="I15" i="2"/>
  <c r="H15" i="2"/>
  <c r="G15" i="2"/>
  <c r="F15" i="2"/>
  <c r="E15" i="2"/>
  <c r="B15" i="2"/>
  <c r="C14" i="2" s="1"/>
  <c r="D14" i="2" s="1"/>
  <c r="A15" i="2"/>
  <c r="I14" i="2"/>
  <c r="H14" i="2"/>
  <c r="G14" i="2"/>
  <c r="F14" i="2"/>
  <c r="E14" i="2"/>
  <c r="B14" i="2"/>
  <c r="C13" i="2" s="1"/>
  <c r="D13" i="2" s="1"/>
  <c r="A14" i="2"/>
  <c r="I13" i="2"/>
  <c r="H13" i="2"/>
  <c r="G13" i="2"/>
  <c r="F13" i="2"/>
  <c r="E13" i="2"/>
  <c r="B13" i="2"/>
  <c r="C12" i="2" s="1"/>
  <c r="D12" i="2" s="1"/>
  <c r="A13" i="2"/>
  <c r="I12" i="2"/>
  <c r="H12" i="2"/>
  <c r="G12" i="2"/>
  <c r="F12" i="2"/>
  <c r="E12" i="2"/>
  <c r="B12" i="2"/>
  <c r="C11" i="2" s="1"/>
  <c r="D11" i="2" s="1"/>
  <c r="A12" i="2"/>
  <c r="I11" i="2"/>
  <c r="H11" i="2"/>
  <c r="G11" i="2"/>
  <c r="F11" i="2"/>
  <c r="E11" i="2"/>
  <c r="B11" i="2"/>
  <c r="C10" i="2" s="1"/>
  <c r="D10" i="2" s="1"/>
  <c r="A11" i="2"/>
  <c r="I10" i="2"/>
  <c r="H10" i="2"/>
  <c r="G10" i="2"/>
  <c r="F10" i="2"/>
  <c r="E10" i="2"/>
  <c r="B10" i="2"/>
  <c r="C9" i="2" s="1"/>
  <c r="D9" i="2" s="1"/>
  <c r="A10" i="2"/>
  <c r="I9" i="2"/>
  <c r="H9" i="2"/>
  <c r="G9" i="2"/>
  <c r="F9" i="2"/>
  <c r="E9" i="2"/>
  <c r="B9" i="2"/>
  <c r="C8" i="2" s="1"/>
  <c r="D8" i="2" s="1"/>
  <c r="A9" i="2"/>
  <c r="I8" i="2"/>
  <c r="H8" i="2"/>
  <c r="G8" i="2"/>
  <c r="F8" i="2"/>
  <c r="E8" i="2"/>
  <c r="B8" i="2"/>
  <c r="C7" i="2" s="1"/>
  <c r="D7" i="2" s="1"/>
  <c r="A8" i="2"/>
  <c r="I7" i="2"/>
  <c r="H7" i="2"/>
  <c r="G7" i="2"/>
  <c r="F7" i="2"/>
  <c r="E7" i="2"/>
  <c r="B7" i="2"/>
  <c r="C6" i="2" s="1"/>
  <c r="D6" i="2" s="1"/>
  <c r="A7" i="2"/>
  <c r="K6" i="2"/>
  <c r="J6" i="2"/>
  <c r="I6" i="2"/>
  <c r="H6" i="2"/>
  <c r="F6" i="2"/>
  <c r="B6" i="2"/>
  <c r="C5" i="2" s="1"/>
  <c r="D5" i="2" s="1"/>
  <c r="A6" i="2"/>
  <c r="K5" i="2"/>
  <c r="J5" i="2"/>
  <c r="I5" i="2"/>
  <c r="H5" i="2"/>
  <c r="F5" i="2"/>
  <c r="B5" i="2"/>
  <c r="C4" i="2" s="1"/>
  <c r="D4" i="2" s="1"/>
  <c r="A5" i="2"/>
  <c r="K4" i="2"/>
  <c r="J4" i="2"/>
  <c r="I4" i="2"/>
  <c r="H4" i="2"/>
  <c r="F4" i="2"/>
  <c r="B4" i="2"/>
  <c r="A4" i="2"/>
  <c r="J103" i="2" l="1"/>
  <c r="L103" i="2"/>
  <c r="L102" i="2"/>
  <c r="L101" i="2"/>
  <c r="L100" i="2"/>
  <c r="L99" i="2"/>
  <c r="L88" i="2"/>
  <c r="L75" i="2"/>
  <c r="L67" i="2"/>
  <c r="L57" i="2"/>
  <c r="L23" i="2"/>
  <c r="L13" i="2"/>
  <c r="L98" i="2"/>
  <c r="L97" i="2"/>
  <c r="L96" i="2"/>
  <c r="L95" i="2"/>
  <c r="L94" i="2"/>
  <c r="L93" i="2"/>
  <c r="L87" i="2"/>
  <c r="L69" i="2"/>
  <c r="L63" i="2"/>
  <c r="L27" i="2"/>
  <c r="L16" i="2"/>
  <c r="L92" i="2"/>
  <c r="L91" i="2"/>
  <c r="L90" i="2"/>
  <c r="L89" i="2"/>
  <c r="L81" i="2"/>
  <c r="L65" i="2"/>
  <c r="L19" i="2"/>
  <c r="L86" i="2"/>
  <c r="L85" i="2"/>
  <c r="L84" i="2"/>
  <c r="L83" i="2"/>
  <c r="L82" i="2"/>
  <c r="L64" i="2"/>
  <c r="L17" i="2"/>
  <c r="L80" i="2"/>
  <c r="L79" i="2"/>
  <c r="L78" i="2"/>
  <c r="L77" i="2"/>
  <c r="L76" i="2"/>
  <c r="L66" i="2"/>
  <c r="L22" i="2"/>
  <c r="L74" i="2"/>
  <c r="L73" i="2"/>
  <c r="L72" i="2"/>
  <c r="L71" i="2"/>
  <c r="L70" i="2"/>
  <c r="L68" i="2"/>
  <c r="L28" i="2"/>
  <c r="L62" i="2"/>
  <c r="L61" i="2"/>
  <c r="L60" i="2"/>
  <c r="L59" i="2"/>
  <c r="L58" i="2"/>
  <c r="L29" i="2"/>
  <c r="L15" i="2"/>
  <c r="L56" i="2"/>
  <c r="L55" i="2"/>
  <c r="L54" i="2"/>
  <c r="L53" i="2"/>
  <c r="L52" i="2"/>
  <c r="L51" i="2"/>
  <c r="L42" i="2"/>
  <c r="L39" i="2"/>
  <c r="L35" i="2"/>
  <c r="L30" i="2"/>
  <c r="L18" i="2"/>
  <c r="L12" i="2"/>
  <c r="L50" i="2"/>
  <c r="L49" i="2"/>
  <c r="L48" i="2"/>
  <c r="L47" i="2"/>
  <c r="L46" i="2"/>
  <c r="L45" i="2"/>
  <c r="L41" i="2"/>
  <c r="L36" i="2"/>
  <c r="L31" i="2"/>
  <c r="L25" i="2"/>
  <c r="L14" i="2"/>
  <c r="L44" i="2"/>
  <c r="L43" i="2"/>
  <c r="L40" i="2"/>
  <c r="L34" i="2"/>
  <c r="L24" i="2"/>
  <c r="L11" i="2"/>
  <c r="L38" i="2"/>
  <c r="L37" i="2"/>
  <c r="L33" i="2"/>
  <c r="L21" i="2"/>
  <c r="L32" i="2"/>
  <c r="L26" i="2"/>
  <c r="L20" i="2"/>
  <c r="K101" i="2"/>
  <c r="J98" i="2"/>
  <c r="J24" i="2"/>
  <c r="K92" i="2"/>
  <c r="J92" i="2"/>
  <c r="J11" i="2"/>
  <c r="J81" i="2"/>
  <c r="K75" i="2"/>
  <c r="J75" i="2"/>
  <c r="K58" i="2"/>
  <c r="L10" i="2"/>
  <c r="L9" i="2"/>
  <c r="L8" i="2"/>
  <c r="J64" i="2"/>
  <c r="J41" i="2"/>
  <c r="J58" i="2"/>
  <c r="J30" i="2"/>
  <c r="J9" i="2"/>
  <c r="L6" i="2"/>
  <c r="L5" i="2"/>
  <c r="J47" i="2"/>
  <c r="K9" i="2"/>
  <c r="K8" i="2"/>
  <c r="K41" i="2"/>
  <c r="K24" i="2"/>
  <c r="J10" i="2"/>
  <c r="J8" i="2"/>
  <c r="K103" i="2"/>
  <c r="K102" i="2"/>
  <c r="K100" i="2"/>
  <c r="K99" i="2"/>
  <c r="K98" i="2"/>
  <c r="K97" i="2"/>
  <c r="K96" i="2"/>
  <c r="K95" i="2"/>
  <c r="K89" i="2"/>
  <c r="K80" i="2"/>
  <c r="K78" i="2"/>
  <c r="K62" i="2"/>
  <c r="K43" i="2"/>
  <c r="K94" i="2"/>
  <c r="K93" i="2"/>
  <c r="K91" i="2"/>
  <c r="K90" i="2"/>
  <c r="K81" i="2"/>
  <c r="K79" i="2"/>
  <c r="K72" i="2"/>
  <c r="K45" i="2"/>
  <c r="K39" i="2"/>
  <c r="K30" i="2"/>
  <c r="K21" i="2"/>
  <c r="K15" i="2"/>
  <c r="K88" i="2"/>
  <c r="K87" i="2"/>
  <c r="K86" i="2"/>
  <c r="K85" i="2"/>
  <c r="K84" i="2"/>
  <c r="K83" i="2"/>
  <c r="K63" i="2"/>
  <c r="K42" i="2"/>
  <c r="K33" i="2"/>
  <c r="K25" i="2"/>
  <c r="K20" i="2"/>
  <c r="K14" i="2"/>
  <c r="K82" i="2"/>
  <c r="K32" i="2"/>
  <c r="K77" i="2"/>
  <c r="K76" i="2"/>
  <c r="K74" i="2"/>
  <c r="K73" i="2"/>
  <c r="K60" i="2"/>
  <c r="K37" i="2"/>
  <c r="K28" i="2"/>
  <c r="K19" i="2"/>
  <c r="K11" i="2"/>
  <c r="K71" i="2"/>
  <c r="K70" i="2"/>
  <c r="K69" i="2"/>
  <c r="K68" i="2"/>
  <c r="K67" i="2"/>
  <c r="K66" i="2"/>
  <c r="K64" i="2"/>
  <c r="K61" i="2"/>
  <c r="K38" i="2"/>
  <c r="K29" i="2"/>
  <c r="K22" i="2"/>
  <c r="K12" i="2"/>
  <c r="K65" i="2"/>
  <c r="K59" i="2"/>
  <c r="K57" i="2"/>
  <c r="K56" i="2"/>
  <c r="K55" i="2"/>
  <c r="K49" i="2"/>
  <c r="K46" i="2"/>
  <c r="K34" i="2"/>
  <c r="K27" i="2"/>
  <c r="K54" i="2"/>
  <c r="K53" i="2"/>
  <c r="K52" i="2"/>
  <c r="K51" i="2"/>
  <c r="K50" i="2"/>
  <c r="K47" i="2"/>
  <c r="K44" i="2"/>
  <c r="K40" i="2"/>
  <c r="K31" i="2"/>
  <c r="K23" i="2"/>
  <c r="K16" i="2"/>
  <c r="K10" i="2"/>
  <c r="K48" i="2"/>
  <c r="K35" i="2"/>
  <c r="K26" i="2"/>
  <c r="K17" i="2"/>
  <c r="K13" i="2"/>
  <c r="J102" i="2"/>
  <c r="J101" i="2"/>
  <c r="J18" i="2"/>
  <c r="J100" i="2"/>
  <c r="J99" i="2"/>
  <c r="J97" i="2"/>
  <c r="J96" i="2"/>
  <c r="J60" i="2"/>
  <c r="J46" i="2"/>
  <c r="J38" i="2"/>
  <c r="J20" i="2"/>
  <c r="J95" i="2"/>
  <c r="J94" i="2"/>
  <c r="J91" i="2"/>
  <c r="J90" i="2"/>
  <c r="J69" i="2"/>
  <c r="J57" i="2"/>
  <c r="J40" i="2"/>
  <c r="J31" i="2"/>
  <c r="J22" i="2"/>
  <c r="J13" i="2"/>
  <c r="J89" i="2"/>
  <c r="J88" i="2"/>
  <c r="J87" i="2"/>
  <c r="J86" i="2"/>
  <c r="J85" i="2"/>
  <c r="J84" i="2"/>
  <c r="J42" i="2"/>
  <c r="J33" i="2"/>
  <c r="J25" i="2"/>
  <c r="J15" i="2"/>
  <c r="J83" i="2"/>
  <c r="J82" i="2"/>
  <c r="J80" i="2"/>
  <c r="J79" i="2"/>
  <c r="J73" i="2"/>
  <c r="J59" i="2"/>
  <c r="J43" i="2"/>
  <c r="J35" i="2"/>
  <c r="J16" i="2"/>
  <c r="J78" i="2"/>
  <c r="J77" i="2"/>
  <c r="J76" i="2"/>
  <c r="J74" i="2"/>
  <c r="J62" i="2"/>
  <c r="J37" i="2"/>
  <c r="J28" i="2"/>
  <c r="J12" i="2"/>
  <c r="J72" i="2"/>
  <c r="J71" i="2"/>
  <c r="J70" i="2"/>
  <c r="J68" i="2"/>
  <c r="J48" i="2"/>
  <c r="J36" i="2"/>
  <c r="J29" i="2"/>
  <c r="J17" i="2"/>
  <c r="J67" i="2"/>
  <c r="J66" i="2"/>
  <c r="J65" i="2"/>
  <c r="J63" i="2"/>
  <c r="J49" i="2"/>
  <c r="J34" i="2"/>
  <c r="J21" i="2"/>
  <c r="J61" i="2"/>
  <c r="J45" i="2"/>
  <c r="J23" i="2"/>
  <c r="J56" i="2"/>
  <c r="J55" i="2"/>
  <c r="J54" i="2"/>
  <c r="J53" i="2"/>
  <c r="J52" i="2"/>
  <c r="J51" i="2"/>
  <c r="J39" i="2"/>
  <c r="J27" i="2"/>
  <c r="J19" i="2"/>
  <c r="J50" i="2"/>
  <c r="J44" i="2"/>
  <c r="J26" i="2"/>
  <c r="J14" i="2"/>
  <c r="J32" i="2"/>
  <c r="L7" i="2"/>
  <c r="L104" i="2"/>
  <c r="K7" i="2"/>
  <c r="K104" i="2"/>
  <c r="J104" i="2"/>
  <c r="C103" i="2"/>
  <c r="D103" i="2" s="1"/>
  <c r="J93" i="2"/>
  <c r="J7" i="2"/>
  <c r="L4" i="2"/>
</calcChain>
</file>

<file path=xl/sharedStrings.xml><?xml version="1.0" encoding="utf-8"?>
<sst xmlns="http://schemas.openxmlformats.org/spreadsheetml/2006/main" count="156" uniqueCount="155">
  <si>
    <t>JSE TOP 40 MARKET STRESS — RAW DATA INPUT</t>
  </si>
  <si>
    <t>Quarter
(YYYY QQ)</t>
  </si>
  <si>
    <t>Quarter
Start Date</t>
  </si>
  <si>
    <t>JSE TOP 40
Total Return Index
(level, end-qtr)</t>
  </si>
  <si>
    <t>CPI
(Index level,
end-qtr avg)</t>
  </si>
  <si>
    <t>Unemployment
Rate (%)
[QLFS]</t>
  </si>
  <si>
    <t>SARB
Repo Rate (%)
(end-qtr level)</t>
  </si>
  <si>
    <t>10-Year Govt
Bond Yield (%)
(end-qtr)</t>
  </si>
  <si>
    <t>—</t>
  </si>
  <si>
    <t>Source: JSE / IRESS / Bloomberg  |  Series: J200T Total Return Index</t>
  </si>
  <si>
    <t>Source: Stats SA  |  P0141 CPI All Items</t>
  </si>
  <si>
    <t>Source: SARB / National Treasury  |  R2030 10-Year Generic Bond Yield (%)</t>
  </si>
  <si>
    <t>Source: SARB  |  KBP2003 91-Day T-Bill Rate — use 2M proxy (%)</t>
  </si>
  <si>
    <t>2000 Q1</t>
  </si>
  <si>
    <t>2000-03-31</t>
  </si>
  <si>
    <t>2000 Q2</t>
  </si>
  <si>
    <t>2000-06-30</t>
  </si>
  <si>
    <t>2000 Q3</t>
  </si>
  <si>
    <t>2000-09-30</t>
  </si>
  <si>
    <t>2000 Q4</t>
  </si>
  <si>
    <t>2000-12-31</t>
  </si>
  <si>
    <t>2001 Q1</t>
  </si>
  <si>
    <t>2001-03-31</t>
  </si>
  <si>
    <t>2001 Q2</t>
  </si>
  <si>
    <t>2001-06-30</t>
  </si>
  <si>
    <t>2001 Q3</t>
  </si>
  <si>
    <t>2001-09-30</t>
  </si>
  <si>
    <t>2001 Q4</t>
  </si>
  <si>
    <t>2001-12-31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</si>
  <si>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</si>
  <si>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</si>
  <si>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</si>
  <si>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</si>
  <si>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</si>
  <si>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</si>
  <si>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</si>
  <si>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</si>
  <si>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</si>
  <si>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</si>
  <si>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</si>
  <si>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</si>
  <si>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</si>
  <si>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</si>
  <si>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</si>
  <si>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</si>
  <si>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</si>
  <si>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</si>
  <si>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</si>
  <si>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</si>
  <si>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</si>
  <si>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</si>
  <si>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</si>
  <si>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</si>
  <si>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</si>
  <si>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</si>
  <si>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</si>
  <si>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</si>
  <si>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</si>
  <si>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</si>
  <si>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</si>
  <si>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</si>
  <si>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</si>
  <si>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</si>
  <si>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</si>
  <si>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</si>
  <si>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</si>
  <si>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</si>
  <si>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</si>
  <si>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</si>
  <si>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</si>
  <si>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</si>
  <si>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</si>
  <si>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</si>
  <si>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</si>
  <si>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</si>
  <si>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</si>
  <si>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</si>
  <si>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</si>
  <si>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</si>
  <si>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</si>
  <si>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</si>
  <si>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</si>
  <si>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</si>
  <si>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</si>
  <si>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</si>
  <si>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</si>
  <si>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</si>
  <si>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</si>
  <si>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</si>
  <si>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</si>
  <si>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</si>
  <si>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</si>
  <si>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</si>
  <si>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</si>
  <si>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</si>
  <si>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</si>
  <si>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</si>
  <si>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</si>
  <si>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</si>
  <si>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</si>
  <si>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</si>
  <si>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</si>
  <si>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</si>
  <si>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</si>
  <si>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</si>
  <si>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</si>
  <si>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</si>
  <si>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</si>
  <si>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</si>
  <si>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</si>
  <si>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</si>
  <si>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</si>
  <si>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</si>
  <si>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</si>
  <si>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</si>
  <si>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</si>
  <si>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</si>
  <si>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</si>
  <si>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</si>
  <si>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</si>
  <si>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</si>
  <si>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COMPUTED VARIABLES — Do not edit this sheet directly. All cells are formulas linked from Sheet 1.</t>
  </si>
  <si>
    <t>Quarter</t>
  </si>
  <si>
    <t>JSE Log
Return
(ln(P_t/P_{t-1}))</t>
  </si>
  <si>
    <t>Next-Qtr
Log Return
(R_{t+1})</t>
  </si>
  <si>
    <t>y_t
(=1 if R_{t+1}&lt;0)</t>
  </si>
  <si>
    <t>x1: CPI
Inflation
YoY (%)</t>
  </si>
  <si>
    <t>x2: Unemp
Rate (%)</t>
  </si>
  <si>
    <t>x3: IP Growth
YoY (%)</t>
  </si>
  <si>
    <t>x4: Repo
Rate (%)</t>
  </si>
  <si>
    <t>z1: Stand.
Inflation</t>
  </si>
  <si>
    <t>z3: Stand.
IP Growth</t>
  </si>
  <si>
    <t>z5: Stand.
Yield Spread</t>
  </si>
  <si>
    <t>'=LN(jse_t / jse_{t-1})</t>
  </si>
  <si>
    <t>'=b_{t+1}  (next-quarter return)</t>
  </si>
  <si>
    <t>'=IF(c_t &lt; 0, 1, 0)</t>
  </si>
  <si>
    <t>'=100*(cpi_t - cpi_{t-4}) / cpi_{t-4}</t>
  </si>
  <si>
    <t>'=unemp_t  (direct link)</t>
  </si>
  <si>
    <t>'=100*(ip_t - ip_{t-4}) / ip_{t-4}</t>
  </si>
  <si>
    <t>'=repo_t  (direct link)</t>
  </si>
  <si>
    <t>'=10y_t - 2m_t</t>
  </si>
  <si>
    <t>'=(x1_t - AVERAGE(X1)) / STDEV(X1)</t>
  </si>
  <si>
    <t>'=(x3_t - AVERAGE(X3)) / STDEV(X3)</t>
  </si>
  <si>
    <t>'=(x5_t - AVERAGE(X5)) / STDEV(X5)</t>
  </si>
  <si>
    <t>2025 Q4</t>
  </si>
  <si>
    <t>2025 Q1</t>
  </si>
  <si>
    <t>2025 Q2</t>
  </si>
  <si>
    <t>2025 Q3</t>
  </si>
  <si>
    <t>Industrial
Production Index
(%)</t>
  </si>
  <si>
    <t>Source: Stats SA  |  P3041.2 Manufacturing Production (%)</t>
  </si>
  <si>
    <t>22.71</t>
  </si>
  <si>
    <t>Source: Stats SA  |  Quarterly Labour Force Survey (QLFS) (%)</t>
  </si>
  <si>
    <t>Source: SARB  |  KBP1442 Repo Rate (end-quarter level, (%)</t>
  </si>
  <si>
    <t>x5: Yield
Spread
(10Y - 91-day %)</t>
  </si>
  <si>
    <t>91-Day
T-Bill Rate (%)
(end-qtr)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</si>
</sst>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"/>
    <numFmt numFmtId="166" formatCode="0.0000"/>
  </numFmts>
  <fonts count="7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0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8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D5F5E3"/>
      <rgbColor rgb="FFF4F7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zoomScaleNormal="100" workbookViewId="0">
      <pane ySplit="3" topLeftCell="A4" activePane="bottomLeft" state="frozen"/>
      <selection pane="bottomLeft" activeCell="K8" sqref="K8"/>
    </sheetView>
  </sheetViews>
  <sheetFormatPr defaultColWidth="8.6640625" defaultRowHeight="14.25" x14ac:dyDescent="0.45"/>
  <cols>
    <col min="1" max="2" width="14" customWidth="1"/>
    <col min="3" max="3" width="18" customWidth="1"/>
    <col min="4" max="5" width="16" customWidth="1"/>
    <col min="6" max="6" width="18" customWidth="1"/>
    <col min="7" max="9" width="16" customWidth="1"/>
  </cols>
  <sheetData>
    <row r="1" spans="1:9" ht="30" customHeight="1" x14ac:dyDescent="0.4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54.75" customHeight="1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148</v>
      </c>
      <c r="G2" s="3" t="s">
        <v>6</v>
      </c>
      <c r="H2" s="3" t="s">
        <v>7</v>
      </c>
      <c r="I2" s="3" t="s">
        <v>154</v>
      </c>
    </row>
    <row r="3" spans="1:9" ht="27.75" customHeight="1" x14ac:dyDescent="0.45">
      <c r="A3" s="4" t="s">
        <v>8</v>
      </c>
      <c r="B3" s="4" t="s">
        <v>8</v>
      </c>
      <c r="C3" s="4" t="s">
        <v>9</v>
      </c>
      <c r="D3" s="4" t="s">
        <v>10</v>
      </c>
      <c r="E3" s="4" t="s">
        <v>151</v>
      </c>
      <c r="F3" s="4" t="s">
        <v>149</v>
      </c>
      <c r="G3" s="4" t="s">
        <v>152</v>
      </c>
      <c r="H3" s="4" t="s">
        <v>11</v>
      </c>
      <c r="I3" s="4" t="s">
        <v>12</v>
      </c>
    </row>
    <row r="4" spans="1:9" ht="15" customHeight="1" x14ac:dyDescent="0.45">
      <c r="A4" s="5" t="s">
        <v>13</v>
      </c>
      <c r="B4" s="6" t="s">
        <v>14</v>
      </c>
      <c r="C4" s="7">
        <v>7388.34</v>
      </c>
      <c r="D4" s="8">
        <v>26.8</v>
      </c>
      <c r="E4" s="9">
        <v>22.7</v>
      </c>
      <c r="F4" s="10">
        <v>1.8994855559952599</v>
      </c>
      <c r="G4" s="9">
        <v>11.75</v>
      </c>
      <c r="H4" s="9">
        <v>13.164999999999999</v>
      </c>
      <c r="I4" s="9">
        <v>9.93</v>
      </c>
    </row>
    <row r="5" spans="1:9" ht="15" customHeight="1" x14ac:dyDescent="0.45">
      <c r="A5" s="5" t="s">
        <v>15</v>
      </c>
      <c r="B5" s="6" t="s">
        <v>16</v>
      </c>
      <c r="C5" s="7">
        <v>7304.22</v>
      </c>
      <c r="D5" s="8">
        <v>27.399999999999995</v>
      </c>
      <c r="E5" s="9" t="s">
        <v>150</v>
      </c>
      <c r="F5" s="10">
        <v>-1.5533980582523901</v>
      </c>
      <c r="G5" s="9">
        <v>11.75</v>
      </c>
      <c r="H5" s="9">
        <v>13.835000000000001</v>
      </c>
      <c r="I5" s="9">
        <v>10.14</v>
      </c>
    </row>
    <row r="6" spans="1:9" ht="15" customHeight="1" x14ac:dyDescent="0.45">
      <c r="A6" s="5" t="s">
        <v>17</v>
      </c>
      <c r="B6" s="6" t="s">
        <v>18</v>
      </c>
      <c r="C6" s="7">
        <v>7957.59</v>
      </c>
      <c r="D6" s="8">
        <v>27.900000000000002</v>
      </c>
      <c r="E6" s="9">
        <v>23.274039999999999</v>
      </c>
      <c r="F6" s="10">
        <v>2.40631163708083</v>
      </c>
      <c r="G6" s="9">
        <v>12</v>
      </c>
      <c r="H6" s="9">
        <v>13.53</v>
      </c>
      <c r="I6" s="9">
        <v>10.18</v>
      </c>
    </row>
    <row r="7" spans="1:9" ht="15" customHeight="1" x14ac:dyDescent="0.45">
      <c r="A7" s="5" t="s">
        <v>19</v>
      </c>
      <c r="B7" s="6" t="s">
        <v>20</v>
      </c>
      <c r="C7" s="7">
        <v>8161.68</v>
      </c>
      <c r="D7" s="8">
        <v>28.233333333333334</v>
      </c>
      <c r="E7" s="9">
        <v>23.274039999999999</v>
      </c>
      <c r="F7" s="10">
        <v>1.19414483821272</v>
      </c>
      <c r="G7" s="9">
        <v>12</v>
      </c>
      <c r="H7" s="9">
        <v>13.831</v>
      </c>
      <c r="I7" s="9">
        <v>10.199999999999999</v>
      </c>
    </row>
    <row r="8" spans="1:9" ht="15" customHeight="1" x14ac:dyDescent="0.45">
      <c r="A8" s="5" t="s">
        <v>21</v>
      </c>
      <c r="B8" s="6" t="s">
        <v>22</v>
      </c>
      <c r="C8" s="7">
        <v>7965.24</v>
      </c>
      <c r="D8" s="8">
        <v>28.766666666666666</v>
      </c>
      <c r="E8" s="9">
        <v>24.622900000000001</v>
      </c>
      <c r="F8" s="10">
        <v>0.30452988199471998</v>
      </c>
      <c r="G8" s="9">
        <v>11</v>
      </c>
      <c r="H8" s="9">
        <v>11.917999999999999</v>
      </c>
      <c r="I8" s="9">
        <v>10.15</v>
      </c>
    </row>
    <row r="9" spans="1:9" ht="15" customHeight="1" x14ac:dyDescent="0.45">
      <c r="A9" s="5" t="s">
        <v>23</v>
      </c>
      <c r="B9" s="6" t="s">
        <v>24</v>
      </c>
      <c r="C9" s="7">
        <v>8943.15</v>
      </c>
      <c r="D9" s="8">
        <v>29.133333333333336</v>
      </c>
      <c r="E9" s="9">
        <v>24.622900000000001</v>
      </c>
      <c r="F9" s="10">
        <v>-1.4800759013283999</v>
      </c>
      <c r="G9" s="9">
        <v>11</v>
      </c>
      <c r="H9" s="9">
        <v>12.178000000000001</v>
      </c>
      <c r="I9" s="9">
        <v>10.23</v>
      </c>
    </row>
    <row r="10" spans="1:9" ht="15" customHeight="1" x14ac:dyDescent="0.45">
      <c r="A10" s="5" t="s">
        <v>25</v>
      </c>
      <c r="B10" s="6" t="s">
        <v>26</v>
      </c>
      <c r="C10" s="7">
        <v>8000.04</v>
      </c>
      <c r="D10" s="8">
        <v>29.266666666666666</v>
      </c>
      <c r="E10" s="9">
        <v>26.157450000000001</v>
      </c>
      <c r="F10" s="10">
        <v>-0.192604006163244</v>
      </c>
      <c r="G10" s="9">
        <v>10</v>
      </c>
      <c r="H10" s="9">
        <v>12.23</v>
      </c>
      <c r="I10" s="9">
        <v>9.3800000000000008</v>
      </c>
    </row>
    <row r="11" spans="1:9" ht="15" customHeight="1" x14ac:dyDescent="0.45">
      <c r="A11" s="5" t="s">
        <v>27</v>
      </c>
      <c r="B11" s="6" t="s">
        <v>28</v>
      </c>
      <c r="C11" s="7">
        <v>10515.28</v>
      </c>
      <c r="D11" s="8">
        <v>29.433333333333334</v>
      </c>
      <c r="E11" s="9">
        <v>26.157450000000001</v>
      </c>
      <c r="F11" s="10">
        <v>4.5156310304901508</v>
      </c>
      <c r="G11" s="9">
        <v>9.5</v>
      </c>
      <c r="H11" s="9">
        <v>12.359</v>
      </c>
      <c r="I11" s="9">
        <v>8.93</v>
      </c>
    </row>
    <row r="12" spans="1:9" ht="15" customHeight="1" x14ac:dyDescent="0.45">
      <c r="A12" s="11" t="s">
        <v>29</v>
      </c>
      <c r="B12" s="6"/>
      <c r="C12" s="7">
        <v>11109.43</v>
      </c>
      <c r="D12" s="8">
        <v>30.400000000000002</v>
      </c>
      <c r="E12" s="9">
        <v>27.733930000000001</v>
      </c>
      <c r="F12" s="10">
        <v>0.48005908419495003</v>
      </c>
      <c r="G12" s="9">
        <v>11.5</v>
      </c>
      <c r="H12" s="9">
        <v>12.154</v>
      </c>
      <c r="I12" s="9">
        <v>9.59</v>
      </c>
    </row>
    <row r="13" spans="1:9" ht="15" customHeight="1" x14ac:dyDescent="0.45">
      <c r="A13" s="11" t="s">
        <v>30</v>
      </c>
      <c r="B13" s="6"/>
      <c r="C13" s="7">
        <v>10109.49</v>
      </c>
      <c r="D13" s="8">
        <v>31.399999999999995</v>
      </c>
      <c r="E13" s="9">
        <v>27.733930000000001</v>
      </c>
      <c r="F13" s="10">
        <v>0.88202866593163298</v>
      </c>
      <c r="G13" s="9">
        <v>12.5</v>
      </c>
      <c r="H13" s="9">
        <v>12.454000000000001</v>
      </c>
      <c r="I13" s="9">
        <v>11.06</v>
      </c>
    </row>
    <row r="14" spans="1:9" ht="15" customHeight="1" x14ac:dyDescent="0.45">
      <c r="A14" s="11" t="s">
        <v>31</v>
      </c>
      <c r="B14" s="6"/>
      <c r="C14" s="7">
        <v>9057.81</v>
      </c>
      <c r="D14" s="8">
        <v>32.300000000000004</v>
      </c>
      <c r="E14" s="9">
        <v>26.617069999999998</v>
      </c>
      <c r="F14" s="10">
        <v>0.47358834244075598</v>
      </c>
      <c r="G14" s="9">
        <v>13.5</v>
      </c>
      <c r="H14" s="9">
        <v>12.601000000000001</v>
      </c>
      <c r="I14" s="9">
        <v>11.62</v>
      </c>
    </row>
    <row r="15" spans="1:9" ht="15" customHeight="1" x14ac:dyDescent="0.45">
      <c r="A15" s="11" t="s">
        <v>32</v>
      </c>
      <c r="B15" s="6"/>
      <c r="C15" s="7">
        <v>8749.64</v>
      </c>
      <c r="D15" s="8">
        <v>33.166666666666671</v>
      </c>
      <c r="E15" s="9">
        <v>26.617069999999998</v>
      </c>
      <c r="F15" s="10">
        <v>0</v>
      </c>
      <c r="G15" s="9">
        <v>13.5</v>
      </c>
      <c r="H15" s="9">
        <v>11.478</v>
      </c>
      <c r="I15" s="9">
        <v>12.36</v>
      </c>
    </row>
    <row r="16" spans="1:9" ht="15" customHeight="1" x14ac:dyDescent="0.45">
      <c r="A16" s="11" t="s">
        <v>33</v>
      </c>
      <c r="B16" s="6"/>
      <c r="C16" s="7">
        <v>7301.97</v>
      </c>
      <c r="D16" s="8">
        <v>33.633333333333333</v>
      </c>
      <c r="E16" s="9">
        <v>29.331230000000001</v>
      </c>
      <c r="F16" s="10">
        <v>-2.10297316896298</v>
      </c>
      <c r="G16" s="9">
        <v>13.5</v>
      </c>
      <c r="H16" s="9">
        <v>11.917</v>
      </c>
      <c r="I16" s="9">
        <v>12.56</v>
      </c>
    </row>
    <row r="17" spans="1:9" ht="15" customHeight="1" x14ac:dyDescent="0.45">
      <c r="A17" s="11" t="s">
        <v>34</v>
      </c>
      <c r="B17" s="6"/>
      <c r="C17" s="7">
        <v>7807.07</v>
      </c>
      <c r="D17" s="8">
        <v>33.866666666666667</v>
      </c>
      <c r="E17" s="9">
        <v>29.331230000000001</v>
      </c>
      <c r="F17" s="10">
        <v>-0.37037037037033199</v>
      </c>
      <c r="G17" s="9">
        <v>12</v>
      </c>
      <c r="H17" s="9">
        <v>11.571999999999999</v>
      </c>
      <c r="I17" s="9">
        <v>12.17</v>
      </c>
    </row>
    <row r="18" spans="1:9" ht="15" customHeight="1" x14ac:dyDescent="0.45">
      <c r="A18" s="11" t="s">
        <v>35</v>
      </c>
      <c r="B18" s="6"/>
      <c r="C18" s="7">
        <v>8354.5</v>
      </c>
      <c r="D18" s="8">
        <v>33.833333333333329</v>
      </c>
      <c r="E18" s="9">
        <v>24.814540000000001</v>
      </c>
      <c r="F18" s="10">
        <v>-0.66914498141263901</v>
      </c>
      <c r="G18" s="9">
        <v>10</v>
      </c>
      <c r="H18" s="9">
        <v>10.319000000000001</v>
      </c>
      <c r="I18" s="9">
        <v>10.210000000000001</v>
      </c>
    </row>
    <row r="19" spans="1:9" ht="15" customHeight="1" x14ac:dyDescent="0.45">
      <c r="A19" s="11" t="s">
        <v>36</v>
      </c>
      <c r="B19" s="6"/>
      <c r="C19" s="7">
        <v>9619.34</v>
      </c>
      <c r="D19" s="8">
        <v>33.366666666666667</v>
      </c>
      <c r="E19" s="9">
        <v>24.814540000000001</v>
      </c>
      <c r="F19" s="10">
        <v>7.4850299401130194E-2</v>
      </c>
      <c r="G19" s="9">
        <v>8</v>
      </c>
      <c r="H19" s="9">
        <v>11.01</v>
      </c>
      <c r="I19" s="9">
        <v>7.76</v>
      </c>
    </row>
    <row r="20" spans="1:9" ht="15" customHeight="1" x14ac:dyDescent="0.45">
      <c r="A20" s="11" t="s">
        <v>37</v>
      </c>
      <c r="B20" s="6"/>
      <c r="C20" s="7">
        <v>9973.2800000000007</v>
      </c>
      <c r="D20" s="8">
        <v>33.800000000000004</v>
      </c>
      <c r="E20" s="9">
        <v>26.354800000000001</v>
      </c>
      <c r="F20" s="10">
        <v>2.0194465220643201</v>
      </c>
      <c r="G20" s="9">
        <v>8</v>
      </c>
      <c r="H20" s="9">
        <v>9.3699999999999992</v>
      </c>
      <c r="I20" s="9">
        <v>7.61</v>
      </c>
    </row>
    <row r="21" spans="1:9" ht="15" customHeight="1" x14ac:dyDescent="0.45">
      <c r="A21" s="11" t="s">
        <v>38</v>
      </c>
      <c r="B21" s="6"/>
      <c r="C21" s="7">
        <v>9138.9500000000007</v>
      </c>
      <c r="D21" s="8">
        <v>34.033333333333331</v>
      </c>
      <c r="E21" s="9">
        <v>26.354800000000001</v>
      </c>
      <c r="F21" s="10">
        <v>2.0527859237537101</v>
      </c>
      <c r="G21" s="9">
        <v>8</v>
      </c>
      <c r="H21" s="9">
        <v>10.01</v>
      </c>
      <c r="I21" s="9">
        <v>7.77</v>
      </c>
    </row>
    <row r="22" spans="1:9" ht="15" customHeight="1" x14ac:dyDescent="0.45">
      <c r="A22" s="11" t="s">
        <v>39</v>
      </c>
      <c r="B22" s="6"/>
      <c r="C22" s="7">
        <v>10886.17</v>
      </c>
      <c r="D22" s="8">
        <v>34.299999999999997</v>
      </c>
      <c r="E22" s="9">
        <v>22.977900000000002</v>
      </c>
      <c r="F22" s="10">
        <v>1.8678160919539899</v>
      </c>
      <c r="G22" s="9">
        <v>7.5</v>
      </c>
      <c r="H22" s="9">
        <v>8.5419999999999998</v>
      </c>
      <c r="I22" s="9">
        <v>7.5</v>
      </c>
    </row>
    <row r="23" spans="1:9" ht="15" customHeight="1" x14ac:dyDescent="0.45">
      <c r="A23" s="11" t="s">
        <v>40</v>
      </c>
      <c r="B23" s="6"/>
      <c r="C23" s="7">
        <v>11405.72</v>
      </c>
      <c r="D23" s="8">
        <v>34.466666666666669</v>
      </c>
      <c r="E23" s="9">
        <v>22.977900000000002</v>
      </c>
      <c r="F23" s="10">
        <v>-0.59943582510572102</v>
      </c>
      <c r="G23" s="9">
        <v>7.5</v>
      </c>
      <c r="H23" s="9">
        <v>8.2330000000000005</v>
      </c>
      <c r="I23" s="9">
        <v>7.27</v>
      </c>
    </row>
    <row r="24" spans="1:9" ht="15" customHeight="1" x14ac:dyDescent="0.45">
      <c r="A24" s="11" t="s">
        <v>41</v>
      </c>
      <c r="B24" s="6"/>
      <c r="C24" s="7">
        <v>12209.75</v>
      </c>
      <c r="D24" s="8">
        <v>34.733333333333334</v>
      </c>
      <c r="E24" s="9">
        <v>24.210460000000001</v>
      </c>
      <c r="F24" s="10">
        <v>1.91557289819084</v>
      </c>
      <c r="G24" s="9">
        <v>7.5</v>
      </c>
      <c r="H24" s="9">
        <v>7.9109999999999996</v>
      </c>
      <c r="I24" s="9">
        <v>7.24</v>
      </c>
    </row>
    <row r="25" spans="1:9" ht="15" customHeight="1" x14ac:dyDescent="0.45">
      <c r="A25" s="11" t="s">
        <v>42</v>
      </c>
      <c r="B25" s="6"/>
      <c r="C25" s="7">
        <v>12946.6</v>
      </c>
      <c r="D25" s="8">
        <v>35.1</v>
      </c>
      <c r="E25" s="9">
        <v>24.210460000000001</v>
      </c>
      <c r="F25" s="10">
        <v>-0.313261399234255</v>
      </c>
      <c r="G25" s="9">
        <v>7</v>
      </c>
      <c r="H25" s="9">
        <v>7.52</v>
      </c>
      <c r="I25" s="9">
        <v>6.82</v>
      </c>
    </row>
    <row r="26" spans="1:9" ht="15" customHeight="1" x14ac:dyDescent="0.45">
      <c r="A26" s="11" t="s">
        <v>43</v>
      </c>
      <c r="B26" s="6"/>
      <c r="C26" s="7">
        <v>15363.6</v>
      </c>
      <c r="D26" s="8">
        <v>35.56666666666667</v>
      </c>
      <c r="E26" s="9">
        <v>23.48556</v>
      </c>
      <c r="F26" s="10">
        <v>1.43156424580999</v>
      </c>
      <c r="G26" s="9">
        <v>7</v>
      </c>
      <c r="H26" s="9">
        <v>7.6740000000000004</v>
      </c>
      <c r="I26" s="9">
        <v>6.73</v>
      </c>
    </row>
    <row r="27" spans="1:9" ht="15" customHeight="1" x14ac:dyDescent="0.45">
      <c r="A27" s="11" t="s">
        <v>44</v>
      </c>
      <c r="B27" s="6"/>
      <c r="C27" s="7">
        <v>16438.05</v>
      </c>
      <c r="D27" s="8">
        <v>35.700000000000003</v>
      </c>
      <c r="E27" s="9">
        <v>23.48556</v>
      </c>
      <c r="F27" s="10">
        <v>-1.23924268502582</v>
      </c>
      <c r="G27" s="9">
        <v>7</v>
      </c>
      <c r="H27" s="9">
        <v>7.5039999999999996</v>
      </c>
      <c r="I27" s="9">
        <v>6.83</v>
      </c>
    </row>
    <row r="28" spans="1:9" ht="15" customHeight="1" x14ac:dyDescent="0.45">
      <c r="A28" s="11" t="s">
        <v>45</v>
      </c>
      <c r="B28" s="6"/>
      <c r="C28" s="7">
        <v>18314.78</v>
      </c>
      <c r="D28" s="8">
        <v>36.033333333333339</v>
      </c>
      <c r="E28" s="9">
        <v>23.134540000000001</v>
      </c>
      <c r="F28" s="10">
        <v>2.2307424189614</v>
      </c>
      <c r="G28" s="9">
        <v>7</v>
      </c>
      <c r="H28" s="9">
        <v>7.4850000000000003</v>
      </c>
      <c r="I28" s="9">
        <v>6.65</v>
      </c>
    </row>
    <row r="29" spans="1:9" ht="15" customHeight="1" x14ac:dyDescent="0.45">
      <c r="A29" s="11" t="s">
        <v>46</v>
      </c>
      <c r="B29" s="6"/>
      <c r="C29" s="7">
        <v>19538.32</v>
      </c>
      <c r="D29" s="8">
        <v>36.533333333333331</v>
      </c>
      <c r="E29" s="9">
        <v>23.134540000000001</v>
      </c>
      <c r="F29" s="10">
        <v>1.2615069894305899</v>
      </c>
      <c r="G29" s="9">
        <v>7.5</v>
      </c>
      <c r="H29" s="9">
        <v>8.3059999999999992</v>
      </c>
      <c r="I29" s="9">
        <v>6.86</v>
      </c>
    </row>
    <row r="30" spans="1:9" ht="15" customHeight="1" x14ac:dyDescent="0.45">
      <c r="A30" s="11" t="s">
        <v>47</v>
      </c>
      <c r="B30" s="6"/>
      <c r="C30" s="7">
        <v>20495.740000000002</v>
      </c>
      <c r="D30" s="8">
        <v>37.433333333333337</v>
      </c>
      <c r="E30" s="9">
        <v>22.101949999999999</v>
      </c>
      <c r="F30" s="10">
        <v>2.7272727272731299</v>
      </c>
      <c r="G30" s="9">
        <v>8</v>
      </c>
      <c r="H30" s="9">
        <v>7.72</v>
      </c>
      <c r="I30" s="9">
        <v>7.57</v>
      </c>
    </row>
    <row r="31" spans="1:9" ht="15" customHeight="1" x14ac:dyDescent="0.45">
      <c r="A31" s="11" t="s">
        <v>48</v>
      </c>
      <c r="B31" s="6"/>
      <c r="C31" s="7">
        <v>21959.599999999999</v>
      </c>
      <c r="D31" s="8">
        <v>37.666666666666664</v>
      </c>
      <c r="E31" s="9">
        <v>22.101949999999999</v>
      </c>
      <c r="F31" s="10">
        <v>1.2782694198620399</v>
      </c>
      <c r="G31" s="9">
        <v>9</v>
      </c>
      <c r="H31" s="9">
        <v>7.85</v>
      </c>
      <c r="I31" s="9">
        <v>8.2799999999999994</v>
      </c>
    </row>
    <row r="32" spans="1:9" ht="15" customHeight="1" x14ac:dyDescent="0.45">
      <c r="A32" s="11" t="s">
        <v>49</v>
      </c>
      <c r="B32" s="6"/>
      <c r="C32" s="7">
        <v>24590.2</v>
      </c>
      <c r="D32" s="8">
        <v>38.199999999999996</v>
      </c>
      <c r="E32" s="9">
        <v>23.6127</v>
      </c>
      <c r="F32" s="10">
        <v>1.06796116504844</v>
      </c>
      <c r="G32" s="9">
        <v>9</v>
      </c>
      <c r="H32" s="9">
        <v>7.835</v>
      </c>
      <c r="I32" s="9">
        <v>8.5399999999999991</v>
      </c>
    </row>
    <row r="33" spans="1:9" ht="15" customHeight="1" x14ac:dyDescent="0.45">
      <c r="A33" s="11" t="s">
        <v>50</v>
      </c>
      <c r="B33" s="6"/>
      <c r="C33" s="7">
        <v>25564.57</v>
      </c>
      <c r="D33" s="8">
        <v>39.1</v>
      </c>
      <c r="E33" s="9">
        <v>23.6127</v>
      </c>
      <c r="F33" s="10">
        <v>0</v>
      </c>
      <c r="G33" s="9">
        <v>9.5</v>
      </c>
      <c r="H33" s="9">
        <v>8.5</v>
      </c>
      <c r="I33" s="9">
        <v>8.61</v>
      </c>
    </row>
    <row r="34" spans="1:9" ht="15" customHeight="1" x14ac:dyDescent="0.45">
      <c r="A34" s="11" t="s">
        <v>51</v>
      </c>
      <c r="B34" s="6"/>
      <c r="C34" s="7">
        <v>28169.01</v>
      </c>
      <c r="D34" s="8">
        <v>40.033333333333331</v>
      </c>
      <c r="E34" s="9">
        <v>21.030639999999998</v>
      </c>
      <c r="F34" s="10">
        <v>-3.2020493115558803E-2</v>
      </c>
      <c r="G34" s="9">
        <v>10</v>
      </c>
      <c r="H34" s="9">
        <v>8.1850000000000005</v>
      </c>
      <c r="I34" s="9">
        <v>9.15</v>
      </c>
    </row>
    <row r="35" spans="1:9" ht="15" customHeight="1" x14ac:dyDescent="0.45">
      <c r="A35" s="11" t="s">
        <v>52</v>
      </c>
      <c r="B35" s="6"/>
      <c r="C35" s="7">
        <v>26311.79</v>
      </c>
      <c r="D35" s="8">
        <v>40.9</v>
      </c>
      <c r="E35" s="9">
        <v>21.030639999999998</v>
      </c>
      <c r="F35" s="10">
        <v>1.2491992312626801</v>
      </c>
      <c r="G35" s="9">
        <v>11</v>
      </c>
      <c r="H35" s="9">
        <v>8.5749999999999993</v>
      </c>
      <c r="I35" s="9">
        <v>10.14</v>
      </c>
    </row>
    <row r="36" spans="1:9" ht="15" customHeight="1" x14ac:dyDescent="0.45">
      <c r="A36" s="11" t="s">
        <v>53</v>
      </c>
      <c r="B36" s="6"/>
      <c r="C36" s="7">
        <v>28204.58</v>
      </c>
      <c r="D36" s="8">
        <v>41.966666666666669</v>
      </c>
      <c r="E36" s="9">
        <v>22.883510000000001</v>
      </c>
      <c r="F36" s="10">
        <v>0.50616893388117901</v>
      </c>
      <c r="G36" s="9">
        <v>11</v>
      </c>
      <c r="H36" s="9">
        <v>8.94</v>
      </c>
      <c r="I36" s="9">
        <v>10.33</v>
      </c>
    </row>
    <row r="37" spans="1:9" ht="15" customHeight="1" x14ac:dyDescent="0.45">
      <c r="A37" s="11" t="s">
        <v>54</v>
      </c>
      <c r="B37" s="6"/>
      <c r="C37" s="7">
        <v>26519.15</v>
      </c>
      <c r="D37" s="8">
        <v>43.733333333333327</v>
      </c>
      <c r="E37" s="9">
        <v>22.561419999999998</v>
      </c>
      <c r="F37" s="10">
        <v>2.2977651872832001</v>
      </c>
      <c r="G37" s="9">
        <v>12</v>
      </c>
      <c r="H37" s="9">
        <v>10.484999999999999</v>
      </c>
      <c r="I37" s="9">
        <v>10.75</v>
      </c>
    </row>
    <row r="38" spans="1:9" ht="15" customHeight="1" x14ac:dyDescent="0.45">
      <c r="A38" s="11" t="s">
        <v>55</v>
      </c>
      <c r="B38" s="6"/>
      <c r="C38" s="7">
        <v>20523.64</v>
      </c>
      <c r="D38" s="8">
        <v>45.4</v>
      </c>
      <c r="E38" s="9">
        <v>22.861689999999999</v>
      </c>
      <c r="F38" s="10">
        <v>-2.5846153846155699</v>
      </c>
      <c r="G38" s="9">
        <v>12</v>
      </c>
      <c r="H38" s="9">
        <v>8.94</v>
      </c>
      <c r="I38" s="9">
        <v>11.29</v>
      </c>
    </row>
    <row r="39" spans="1:9" ht="15" customHeight="1" x14ac:dyDescent="0.45">
      <c r="A39" s="11" t="s">
        <v>56</v>
      </c>
      <c r="B39" s="6"/>
      <c r="C39" s="7">
        <v>19683.939999999999</v>
      </c>
      <c r="D39" s="8">
        <v>45.433333333333337</v>
      </c>
      <c r="E39" s="9">
        <v>21.892610000000001</v>
      </c>
      <c r="F39" s="10">
        <v>-8.4017687934298095</v>
      </c>
      <c r="G39" s="9">
        <v>11.5</v>
      </c>
      <c r="H39" s="9">
        <v>7.3250000000000002</v>
      </c>
      <c r="I39" s="9">
        <v>10.85</v>
      </c>
    </row>
    <row r="40" spans="1:9" ht="15" customHeight="1" x14ac:dyDescent="0.45">
      <c r="A40" s="11" t="s">
        <v>57</v>
      </c>
      <c r="B40" s="6"/>
      <c r="C40" s="7">
        <v>19242.47</v>
      </c>
      <c r="D40" s="8">
        <v>45.766666666666673</v>
      </c>
      <c r="E40" s="9">
        <v>22.71415</v>
      </c>
      <c r="F40" s="10">
        <v>-7.8965517241379999</v>
      </c>
      <c r="G40" s="9">
        <v>9.5</v>
      </c>
      <c r="H40" s="9">
        <v>8.4949999999999992</v>
      </c>
      <c r="I40" s="9">
        <v>9.5</v>
      </c>
    </row>
    <row r="41" spans="1:9" ht="15" customHeight="1" x14ac:dyDescent="0.45">
      <c r="A41" s="11" t="s">
        <v>58</v>
      </c>
      <c r="B41" s="6"/>
      <c r="C41" s="7">
        <v>19985.52</v>
      </c>
      <c r="D41" s="8">
        <v>46.800000000000004</v>
      </c>
      <c r="E41" s="9">
        <v>23.131879999999999</v>
      </c>
      <c r="F41" s="10">
        <v>-1.5350056158741301</v>
      </c>
      <c r="G41" s="9">
        <v>7.5</v>
      </c>
      <c r="H41" s="9">
        <v>9.33</v>
      </c>
      <c r="I41" s="9">
        <v>7.71</v>
      </c>
    </row>
    <row r="42" spans="1:9" ht="15" customHeight="1" x14ac:dyDescent="0.45">
      <c r="A42" s="11" t="s">
        <v>59</v>
      </c>
      <c r="B42" s="6"/>
      <c r="C42" s="7">
        <v>21923.09</v>
      </c>
      <c r="D42" s="8">
        <v>47.633333333333326</v>
      </c>
      <c r="E42" s="9">
        <v>24.423500000000001</v>
      </c>
      <c r="F42" s="10">
        <v>2.5855513307984102</v>
      </c>
      <c r="G42" s="9">
        <v>7</v>
      </c>
      <c r="H42" s="9">
        <v>8.7949999999999999</v>
      </c>
      <c r="I42" s="9">
        <v>7.17</v>
      </c>
    </row>
    <row r="43" spans="1:9" ht="15" customHeight="1" x14ac:dyDescent="0.45">
      <c r="A43" s="11" t="s">
        <v>60</v>
      </c>
      <c r="B43" s="6"/>
      <c r="C43" s="7">
        <v>24996.97</v>
      </c>
      <c r="D43" s="8">
        <v>47.866666666666667</v>
      </c>
      <c r="E43" s="9">
        <v>24.469329999999999</v>
      </c>
      <c r="F43" s="10">
        <v>2.3350630096367699</v>
      </c>
      <c r="G43" s="9">
        <v>7</v>
      </c>
      <c r="H43" s="9">
        <v>9.0449999999999999</v>
      </c>
      <c r="I43" s="9">
        <v>7.01</v>
      </c>
    </row>
    <row r="44" spans="1:9" ht="15" customHeight="1" x14ac:dyDescent="0.45">
      <c r="A44" s="11" t="s">
        <v>61</v>
      </c>
      <c r="B44" s="6"/>
      <c r="C44" s="7">
        <v>26113.3</v>
      </c>
      <c r="D44" s="8">
        <v>48.433333333333337</v>
      </c>
      <c r="E44" s="9">
        <v>24.794930000000001</v>
      </c>
      <c r="F44" s="10">
        <v>0.18109380659183699</v>
      </c>
      <c r="G44" s="9">
        <v>6.5</v>
      </c>
      <c r="H44" s="9">
        <v>8.43</v>
      </c>
      <c r="I44" s="9">
        <v>7.04</v>
      </c>
    </row>
    <row r="45" spans="1:9" ht="15" customHeight="1" x14ac:dyDescent="0.45">
      <c r="A45" s="11" t="s">
        <v>62</v>
      </c>
      <c r="B45" s="6"/>
      <c r="C45" s="7">
        <v>23355.16</v>
      </c>
      <c r="D45" s="8">
        <v>48.866666666666667</v>
      </c>
      <c r="E45" s="9">
        <v>24.934360000000002</v>
      </c>
      <c r="F45" s="10">
        <v>2.8199566160520599</v>
      </c>
      <c r="G45" s="9">
        <v>6.5</v>
      </c>
      <c r="H45" s="9">
        <v>8.6750000000000007</v>
      </c>
      <c r="I45" s="9">
        <v>6.57</v>
      </c>
    </row>
    <row r="46" spans="1:9" ht="15" customHeight="1" x14ac:dyDescent="0.45">
      <c r="A46" s="11" t="s">
        <v>63</v>
      </c>
      <c r="B46" s="6"/>
      <c r="C46" s="7">
        <v>25982.05</v>
      </c>
      <c r="D46" s="8">
        <v>49.333333333333336</v>
      </c>
      <c r="E46" s="9">
        <v>25.3855</v>
      </c>
      <c r="F46" s="10">
        <v>-0.84388185654007397</v>
      </c>
      <c r="G46" s="9">
        <v>6</v>
      </c>
      <c r="H46" s="9">
        <v>7.9950000000000001</v>
      </c>
      <c r="I46" s="9">
        <v>6.33</v>
      </c>
    </row>
    <row r="47" spans="1:9" ht="15" customHeight="1" x14ac:dyDescent="0.45">
      <c r="A47" s="11" t="s">
        <v>64</v>
      </c>
      <c r="B47" s="6"/>
      <c r="C47" s="7">
        <v>28639.4</v>
      </c>
      <c r="D47" s="8">
        <v>49.5</v>
      </c>
      <c r="E47" s="9">
        <v>24.368200000000002</v>
      </c>
      <c r="F47" s="10">
        <v>0.177304964539027</v>
      </c>
      <c r="G47" s="9">
        <v>5.5</v>
      </c>
      <c r="H47" s="9">
        <v>8.1349999999999998</v>
      </c>
      <c r="I47" s="9">
        <v>5.74</v>
      </c>
    </row>
    <row r="48" spans="1:9" ht="15" customHeight="1" x14ac:dyDescent="0.45">
      <c r="A48" s="11" t="s">
        <v>65</v>
      </c>
      <c r="B48" s="6"/>
      <c r="C48" s="7">
        <v>29175.56</v>
      </c>
      <c r="D48" s="8">
        <v>50.233333333333327</v>
      </c>
      <c r="E48" s="9">
        <v>24.65962</v>
      </c>
      <c r="F48" s="10">
        <v>2.9380530973450698</v>
      </c>
      <c r="G48" s="9">
        <v>5.5</v>
      </c>
      <c r="H48" s="9">
        <v>8.6150000000000002</v>
      </c>
      <c r="I48" s="9">
        <v>5.52</v>
      </c>
    </row>
    <row r="49" spans="1:9" ht="15" customHeight="1" x14ac:dyDescent="0.45">
      <c r="A49" s="11" t="s">
        <v>66</v>
      </c>
      <c r="B49" s="6"/>
      <c r="C49" s="7">
        <v>28578.560000000001</v>
      </c>
      <c r="D49" s="8">
        <v>51.166666666666664</v>
      </c>
      <c r="E49" s="9">
        <v>25.388909999999999</v>
      </c>
      <c r="F49" s="10">
        <v>-1.3067400275102401</v>
      </c>
      <c r="G49" s="9">
        <v>5.5</v>
      </c>
      <c r="H49" s="9">
        <v>8.41</v>
      </c>
      <c r="I49" s="9">
        <v>5.46</v>
      </c>
    </row>
    <row r="50" spans="1:9" ht="15" customHeight="1" x14ac:dyDescent="0.45">
      <c r="A50" s="11" t="s">
        <v>67</v>
      </c>
      <c r="B50" s="6"/>
      <c r="C50" s="7">
        <v>26375.82</v>
      </c>
      <c r="D50" s="8">
        <v>52</v>
      </c>
      <c r="E50" s="9">
        <v>24.902830000000002</v>
      </c>
      <c r="F50" s="10">
        <v>0.62717770034843601</v>
      </c>
      <c r="G50" s="9">
        <v>5.5</v>
      </c>
      <c r="H50" s="9">
        <v>8.27</v>
      </c>
      <c r="I50" s="9">
        <v>5.49</v>
      </c>
    </row>
    <row r="51" spans="1:9" ht="15" customHeight="1" x14ac:dyDescent="0.45">
      <c r="A51" s="11" t="s">
        <v>68</v>
      </c>
      <c r="B51" s="6"/>
      <c r="C51" s="7">
        <v>28469.81</v>
      </c>
      <c r="D51" s="8">
        <v>52.5</v>
      </c>
      <c r="E51" s="9">
        <v>24.193090000000002</v>
      </c>
      <c r="F51" s="10">
        <v>1.00415512465366</v>
      </c>
      <c r="G51" s="9">
        <v>5.5</v>
      </c>
      <c r="H51" s="9">
        <v>7.93</v>
      </c>
      <c r="I51" s="9">
        <v>5.48</v>
      </c>
    </row>
    <row r="52" spans="1:9" ht="15" customHeight="1" x14ac:dyDescent="0.45">
      <c r="A52" s="11" t="s">
        <v>69</v>
      </c>
      <c r="B52" s="6"/>
      <c r="C52" s="7">
        <v>29603.42</v>
      </c>
      <c r="D52" s="8">
        <v>53.333333333333336</v>
      </c>
      <c r="E52" s="9">
        <v>24.86591</v>
      </c>
      <c r="F52" s="10">
        <v>0.75419952005490998</v>
      </c>
      <c r="G52" s="9">
        <v>5.5</v>
      </c>
      <c r="H52" s="9">
        <v>7.875</v>
      </c>
      <c r="I52" s="9">
        <v>5.51</v>
      </c>
    </row>
    <row r="53" spans="1:9" ht="15" customHeight="1" x14ac:dyDescent="0.45">
      <c r="A53" s="11" t="s">
        <v>70</v>
      </c>
      <c r="B53" s="6"/>
      <c r="C53" s="7">
        <v>29638.01</v>
      </c>
      <c r="D53" s="8">
        <v>54.166666666666664</v>
      </c>
      <c r="E53" s="9">
        <v>24.702100000000002</v>
      </c>
      <c r="F53" s="10">
        <v>0.340251786321843</v>
      </c>
      <c r="G53" s="9">
        <v>5.5</v>
      </c>
      <c r="H53" s="9">
        <v>7.23</v>
      </c>
      <c r="I53" s="9">
        <v>5.57</v>
      </c>
    </row>
    <row r="54" spans="1:9" ht="15" customHeight="1" x14ac:dyDescent="0.45">
      <c r="A54" s="11" t="s">
        <v>71</v>
      </c>
      <c r="B54" s="6"/>
      <c r="C54" s="7">
        <v>32361.91</v>
      </c>
      <c r="D54" s="8">
        <v>54.6</v>
      </c>
      <c r="E54" s="9">
        <v>25.06521</v>
      </c>
      <c r="F54" s="10">
        <v>0.64428619871139703</v>
      </c>
      <c r="G54" s="9">
        <v>5</v>
      </c>
      <c r="H54" s="9">
        <v>6.73</v>
      </c>
      <c r="I54" s="9">
        <v>5.13</v>
      </c>
    </row>
    <row r="55" spans="1:9" ht="15" customHeight="1" x14ac:dyDescent="0.45">
      <c r="A55" s="11" t="s">
        <v>72</v>
      </c>
      <c r="B55" s="6"/>
      <c r="C55" s="7">
        <v>35775.9</v>
      </c>
      <c r="D55" s="8">
        <v>55.466666666666669</v>
      </c>
      <c r="E55" s="9">
        <v>24.84385</v>
      </c>
      <c r="F55" s="10">
        <v>0.60646900269540904</v>
      </c>
      <c r="G55" s="9">
        <v>5</v>
      </c>
      <c r="H55" s="9">
        <v>6.48</v>
      </c>
      <c r="I55" s="9">
        <v>4.95</v>
      </c>
    </row>
    <row r="56" spans="1:9" ht="15" customHeight="1" x14ac:dyDescent="0.45">
      <c r="A56" s="11" t="s">
        <v>73</v>
      </c>
      <c r="B56" s="6"/>
      <c r="C56" s="7">
        <v>33920.57</v>
      </c>
      <c r="D56" s="8">
        <v>56.366666666666667</v>
      </c>
      <c r="E56" s="9">
        <v>24.83888</v>
      </c>
      <c r="F56" s="10">
        <v>-0.435365036838542</v>
      </c>
      <c r="G56" s="9">
        <v>5</v>
      </c>
      <c r="H56" s="9">
        <v>6.32</v>
      </c>
      <c r="I56" s="9">
        <v>5.05</v>
      </c>
    </row>
    <row r="57" spans="1:9" ht="15" customHeight="1" x14ac:dyDescent="0.45">
      <c r="A57" s="11" t="s">
        <v>74</v>
      </c>
      <c r="B57" s="6"/>
      <c r="C57" s="7">
        <v>34684.53</v>
      </c>
      <c r="D57" s="8">
        <v>57.133333333333333</v>
      </c>
      <c r="E57" s="9">
        <v>25.188770000000002</v>
      </c>
      <c r="F57" s="10">
        <v>1.21089808274448</v>
      </c>
      <c r="G57" s="9">
        <v>5</v>
      </c>
      <c r="H57" s="9">
        <v>7.76</v>
      </c>
      <c r="I57" s="9">
        <v>5.09</v>
      </c>
    </row>
    <row r="58" spans="1:9" ht="15" customHeight="1" x14ac:dyDescent="0.45">
      <c r="A58" s="11" t="s">
        <v>75</v>
      </c>
      <c r="B58" s="6"/>
      <c r="C58" s="7">
        <v>39285.17</v>
      </c>
      <c r="D58" s="8">
        <v>58.033333333333331</v>
      </c>
      <c r="E58" s="9">
        <v>24.412960000000002</v>
      </c>
      <c r="F58" s="10">
        <v>-0.86407444333648198</v>
      </c>
      <c r="G58" s="9">
        <v>5</v>
      </c>
      <c r="H58" s="9">
        <v>7.68</v>
      </c>
      <c r="I58" s="9">
        <v>5.09</v>
      </c>
    </row>
    <row r="59" spans="1:9" ht="15" customHeight="1" x14ac:dyDescent="0.45">
      <c r="A59" s="11" t="s">
        <v>76</v>
      </c>
      <c r="B59" s="6"/>
      <c r="C59" s="7">
        <v>41418.25</v>
      </c>
      <c r="D59" s="8">
        <v>58.533333333333339</v>
      </c>
      <c r="E59" s="9">
        <v>24.519680000000001</v>
      </c>
      <c r="F59" s="10">
        <v>1.44150184378169</v>
      </c>
      <c r="G59" s="9">
        <v>5</v>
      </c>
      <c r="H59" s="9">
        <v>7.96</v>
      </c>
      <c r="I59" s="9">
        <v>5.08</v>
      </c>
    </row>
    <row r="60" spans="1:9" ht="15" customHeight="1" x14ac:dyDescent="0.45">
      <c r="A60" s="11" t="s">
        <v>77</v>
      </c>
      <c r="B60" s="6"/>
      <c r="C60" s="7">
        <v>43537.43</v>
      </c>
      <c r="D60" s="8">
        <v>59.733333333333327</v>
      </c>
      <c r="E60" s="9">
        <v>24.938110000000002</v>
      </c>
      <c r="F60" s="10">
        <v>-0.36351619299466198</v>
      </c>
      <c r="G60" s="9">
        <v>5.5</v>
      </c>
      <c r="H60" s="9">
        <v>8.2949999999999999</v>
      </c>
      <c r="I60" s="9">
        <v>5.5</v>
      </c>
    </row>
    <row r="61" spans="1:9" ht="15" customHeight="1" x14ac:dyDescent="0.45">
      <c r="A61" s="11" t="s">
        <v>78</v>
      </c>
      <c r="B61" s="6"/>
      <c r="C61" s="7">
        <v>47080.38</v>
      </c>
      <c r="D61" s="8">
        <v>60.833333333333336</v>
      </c>
      <c r="E61" s="9">
        <v>25.378679999999999</v>
      </c>
      <c r="F61" s="10">
        <v>-6.63349917080613E-2</v>
      </c>
      <c r="G61" s="9">
        <v>5.5</v>
      </c>
      <c r="H61" s="9">
        <v>8.2050000000000001</v>
      </c>
      <c r="I61" s="9">
        <v>5.75</v>
      </c>
    </row>
    <row r="62" spans="1:9" ht="15" customHeight="1" x14ac:dyDescent="0.45">
      <c r="A62" s="11" t="s">
        <v>79</v>
      </c>
      <c r="B62" s="6"/>
      <c r="C62" s="7">
        <v>43383.519999999997</v>
      </c>
      <c r="D62" s="8">
        <v>61.699999999999996</v>
      </c>
      <c r="E62" s="9">
        <v>25.345400000000001</v>
      </c>
      <c r="F62" s="10">
        <v>-2.29007633587758</v>
      </c>
      <c r="G62" s="9">
        <v>5.75</v>
      </c>
      <c r="H62" s="9">
        <v>8.1850000000000005</v>
      </c>
      <c r="I62" s="9">
        <v>6.01</v>
      </c>
    </row>
    <row r="63" spans="1:9" ht="15" customHeight="1" x14ac:dyDescent="0.45">
      <c r="A63" s="11" t="s">
        <v>80</v>
      </c>
      <c r="B63" s="6"/>
      <c r="C63" s="7">
        <v>43696.74</v>
      </c>
      <c r="D63" s="8">
        <v>61.79999999999999</v>
      </c>
      <c r="E63" s="9">
        <v>24.655619999999999</v>
      </c>
      <c r="F63" s="10">
        <v>3.4646739130430602</v>
      </c>
      <c r="G63" s="9">
        <v>5.75</v>
      </c>
      <c r="H63" s="9">
        <v>7.82</v>
      </c>
      <c r="I63" s="9">
        <v>5.92</v>
      </c>
    </row>
    <row r="64" spans="1:9" ht="15" customHeight="1" x14ac:dyDescent="0.45">
      <c r="A64" s="11" t="s">
        <v>81</v>
      </c>
      <c r="B64" s="6"/>
      <c r="C64" s="7">
        <v>46048.959999999999</v>
      </c>
      <c r="D64" s="8">
        <v>62.166666666666664</v>
      </c>
      <c r="E64" s="9">
        <v>26.065529999999999</v>
      </c>
      <c r="F64" s="10">
        <v>9.8489822718228495E-2</v>
      </c>
      <c r="G64" s="9">
        <v>5.75</v>
      </c>
      <c r="H64" s="9">
        <v>7.7149999999999999</v>
      </c>
      <c r="I64" s="9">
        <v>5.89</v>
      </c>
    </row>
    <row r="65" spans="1:9" ht="15" customHeight="1" x14ac:dyDescent="0.45">
      <c r="A65" s="11" t="s">
        <v>82</v>
      </c>
      <c r="B65" s="6"/>
      <c r="C65" s="7">
        <v>46355.6</v>
      </c>
      <c r="D65" s="8">
        <v>63.699999999999996</v>
      </c>
      <c r="E65" s="9">
        <v>25.036159999999999</v>
      </c>
      <c r="F65" s="10">
        <v>-2.8205969170214198</v>
      </c>
      <c r="G65" s="9">
        <v>5.75</v>
      </c>
      <c r="H65" s="9">
        <v>8.25</v>
      </c>
      <c r="I65" s="9">
        <v>5.76</v>
      </c>
    </row>
    <row r="66" spans="1:9" ht="15" customHeight="1" x14ac:dyDescent="0.45">
      <c r="A66" s="11" t="s">
        <v>83</v>
      </c>
      <c r="B66" s="6"/>
      <c r="C66" s="7">
        <v>45668.35</v>
      </c>
      <c r="D66" s="8">
        <v>64.599999999999994</v>
      </c>
      <c r="E66" s="9">
        <v>25.44669</v>
      </c>
      <c r="F66" s="10">
        <v>1.4512318596016101</v>
      </c>
      <c r="G66" s="9">
        <v>6</v>
      </c>
      <c r="H66" s="9">
        <v>8.3350000000000009</v>
      </c>
      <c r="I66" s="9">
        <v>6.14</v>
      </c>
    </row>
    <row r="67" spans="1:9" ht="15" customHeight="1" x14ac:dyDescent="0.45">
      <c r="A67" s="11" t="s">
        <v>84</v>
      </c>
      <c r="B67" s="6"/>
      <c r="C67" s="7">
        <v>45797.3</v>
      </c>
      <c r="D67" s="8">
        <v>64.833333333333329</v>
      </c>
      <c r="E67" s="9">
        <v>24.83982</v>
      </c>
      <c r="F67" s="10">
        <v>-0.46573519627405302</v>
      </c>
      <c r="G67" s="9">
        <v>6.25</v>
      </c>
      <c r="H67" s="9">
        <v>9.77</v>
      </c>
      <c r="I67" s="9">
        <v>6.4</v>
      </c>
    </row>
    <row r="68" spans="1:9" ht="15" customHeight="1" x14ac:dyDescent="0.45">
      <c r="A68" s="11" t="s">
        <v>85</v>
      </c>
      <c r="B68" s="6"/>
      <c r="C68" s="7">
        <v>45485.3</v>
      </c>
      <c r="D68" s="8">
        <v>66.2</v>
      </c>
      <c r="E68" s="9">
        <v>26.480609999999999</v>
      </c>
      <c r="F68" s="10">
        <v>1.73796791443916</v>
      </c>
      <c r="G68" s="9">
        <v>7</v>
      </c>
      <c r="H68" s="9">
        <v>9.1300000000000008</v>
      </c>
      <c r="I68" s="9">
        <v>6.94</v>
      </c>
    </row>
    <row r="69" spans="1:9" ht="15" customHeight="1" x14ac:dyDescent="0.45">
      <c r="A69" s="11" t="s">
        <v>86</v>
      </c>
      <c r="B69" s="6"/>
      <c r="C69" s="7">
        <v>46015.54</v>
      </c>
      <c r="D69" s="8">
        <v>67.600000000000009</v>
      </c>
      <c r="E69" s="9">
        <v>26.659459999999999</v>
      </c>
      <c r="F69" s="10">
        <v>0.29566360052533103</v>
      </c>
      <c r="G69" s="9">
        <v>7</v>
      </c>
      <c r="H69" s="9">
        <v>8.6950000000000003</v>
      </c>
      <c r="I69" s="9">
        <v>7.18</v>
      </c>
    </row>
    <row r="70" spans="1:9" ht="15" customHeight="1" x14ac:dyDescent="0.45">
      <c r="A70" s="11" t="s">
        <v>87</v>
      </c>
      <c r="B70" s="6"/>
      <c r="C70" s="7">
        <v>45425.59</v>
      </c>
      <c r="D70" s="8">
        <v>68.466666666666669</v>
      </c>
      <c r="E70" s="9">
        <v>26.960419999999999</v>
      </c>
      <c r="F70" s="10">
        <v>-0.98264002620374002</v>
      </c>
      <c r="G70" s="9">
        <v>7</v>
      </c>
      <c r="H70" s="9">
        <v>8.68</v>
      </c>
      <c r="I70" s="9">
        <v>7.31</v>
      </c>
    </row>
    <row r="71" spans="1:9" ht="15" customHeight="1" x14ac:dyDescent="0.45">
      <c r="A71" s="11" t="s">
        <v>88</v>
      </c>
      <c r="B71" s="6"/>
      <c r="C71" s="7">
        <v>43901.99</v>
      </c>
      <c r="D71" s="8">
        <v>69.066666666666663</v>
      </c>
      <c r="E71" s="9">
        <v>26.75515</v>
      </c>
      <c r="F71" s="10">
        <v>-1.48858749586533</v>
      </c>
      <c r="G71" s="9">
        <v>7</v>
      </c>
      <c r="H71" s="9">
        <v>8.9250000000000007</v>
      </c>
      <c r="I71" s="9">
        <v>7.47</v>
      </c>
    </row>
    <row r="72" spans="1:9" ht="15" customHeight="1" x14ac:dyDescent="0.45">
      <c r="A72" s="11" t="s">
        <v>89</v>
      </c>
      <c r="B72" s="6"/>
      <c r="C72" s="7">
        <v>45167.15</v>
      </c>
      <c r="D72" s="8">
        <v>70.433333333333337</v>
      </c>
      <c r="E72" s="9">
        <v>27.459910000000001</v>
      </c>
      <c r="F72" s="10">
        <v>3.3579583613119197E-2</v>
      </c>
      <c r="G72" s="9">
        <v>7</v>
      </c>
      <c r="H72" s="9">
        <v>8.85</v>
      </c>
      <c r="I72" s="9">
        <v>7.32</v>
      </c>
    </row>
    <row r="73" spans="1:9" ht="15" customHeight="1" x14ac:dyDescent="0.45">
      <c r="A73" s="11" t="s">
        <v>90</v>
      </c>
      <c r="B73" s="6"/>
      <c r="C73" s="7">
        <v>45421.760000000002</v>
      </c>
      <c r="D73" s="8">
        <v>71.2</v>
      </c>
      <c r="E73" s="9">
        <v>27.84712</v>
      </c>
      <c r="F73" s="10">
        <v>0.36925142665327199</v>
      </c>
      <c r="G73" s="9">
        <v>7</v>
      </c>
      <c r="H73" s="9">
        <v>8.7949999999999999</v>
      </c>
      <c r="I73" s="9">
        <v>7.4</v>
      </c>
    </row>
    <row r="74" spans="1:9" ht="15" customHeight="1" x14ac:dyDescent="0.45">
      <c r="A74" s="11" t="s">
        <v>91</v>
      </c>
      <c r="B74" s="6"/>
      <c r="C74" s="7">
        <v>49376.46</v>
      </c>
      <c r="D74" s="8">
        <v>71.766666666666666</v>
      </c>
      <c r="E74" s="9">
        <v>27.584119999999999</v>
      </c>
      <c r="F74" s="10">
        <v>0.769230769230411</v>
      </c>
      <c r="G74" s="9">
        <v>6.75</v>
      </c>
      <c r="H74" s="9">
        <v>8.56</v>
      </c>
      <c r="I74" s="9">
        <v>7.2</v>
      </c>
    </row>
    <row r="75" spans="1:9" ht="15" customHeight="1" x14ac:dyDescent="0.45">
      <c r="A75" s="11" t="s">
        <v>92</v>
      </c>
      <c r="B75" s="6"/>
      <c r="C75" s="7">
        <v>52842.68</v>
      </c>
      <c r="D75" s="8">
        <v>72.36666666666666</v>
      </c>
      <c r="E75" s="9">
        <v>26.940460000000002</v>
      </c>
      <c r="F75" s="10">
        <v>1.09525389976757</v>
      </c>
      <c r="G75" s="9">
        <v>6.75</v>
      </c>
      <c r="H75" s="9">
        <v>8.5649999999999995</v>
      </c>
      <c r="I75" s="9">
        <v>7.4</v>
      </c>
    </row>
    <row r="76" spans="1:9" ht="15" customHeight="1" x14ac:dyDescent="0.45">
      <c r="A76" s="11" t="s">
        <v>93</v>
      </c>
      <c r="B76" s="6"/>
      <c r="C76" s="7">
        <v>48794.5</v>
      </c>
      <c r="D76" s="8">
        <v>73.266666666666666</v>
      </c>
      <c r="E76" s="9">
        <v>26.570060000000002</v>
      </c>
      <c r="F76" s="10">
        <v>-1.7071569271171001</v>
      </c>
      <c r="G76" s="9">
        <v>6.5</v>
      </c>
      <c r="H76" s="9">
        <v>7.98</v>
      </c>
      <c r="I76" s="9">
        <v>7.17</v>
      </c>
    </row>
    <row r="77" spans="1:9" ht="15" customHeight="1" x14ac:dyDescent="0.45">
      <c r="A77" s="11" t="s">
        <v>94</v>
      </c>
      <c r="B77" s="6"/>
      <c r="C77" s="7">
        <v>51516.06</v>
      </c>
      <c r="D77" s="8">
        <v>74.36666666666666</v>
      </c>
      <c r="E77" s="9">
        <v>27.38645</v>
      </c>
      <c r="F77" s="10">
        <v>3.3400133600491898E-2</v>
      </c>
      <c r="G77" s="9">
        <v>6.5</v>
      </c>
      <c r="H77" s="9">
        <v>8.8350000000000009</v>
      </c>
      <c r="I77" s="9">
        <v>7.01</v>
      </c>
    </row>
    <row r="78" spans="1:9" ht="15" customHeight="1" x14ac:dyDescent="0.45">
      <c r="A78" s="11" t="s">
        <v>95</v>
      </c>
      <c r="B78" s="6"/>
      <c r="C78" s="7">
        <v>48258.14</v>
      </c>
      <c r="D78" s="8">
        <v>75.333333333333329</v>
      </c>
      <c r="E78" s="9">
        <v>27.28295</v>
      </c>
      <c r="F78" s="10">
        <v>2.0701168614359702</v>
      </c>
      <c r="G78" s="9">
        <v>6.5</v>
      </c>
      <c r="H78" s="9">
        <v>9.24</v>
      </c>
      <c r="I78" s="9">
        <v>7.11</v>
      </c>
    </row>
    <row r="79" spans="1:9" ht="15" customHeight="1" x14ac:dyDescent="0.45">
      <c r="A79" s="11" t="s">
        <v>96</v>
      </c>
      <c r="B79" s="6"/>
      <c r="C79" s="7">
        <v>46156.11</v>
      </c>
      <c r="D79" s="8">
        <v>75.933333333333337</v>
      </c>
      <c r="E79" s="9">
        <v>27.267980000000001</v>
      </c>
      <c r="F79" s="10">
        <v>0.71965979718606699</v>
      </c>
      <c r="G79" s="9">
        <v>6.75</v>
      </c>
      <c r="H79" s="9">
        <v>8.8000000000000007</v>
      </c>
      <c r="I79" s="9">
        <v>7.32</v>
      </c>
    </row>
    <row r="80" spans="1:9" ht="15" customHeight="1" x14ac:dyDescent="0.45">
      <c r="A80" s="11" t="s">
        <v>97</v>
      </c>
      <c r="B80" s="6"/>
      <c r="C80" s="7">
        <v>51517.73</v>
      </c>
      <c r="D80" s="8">
        <v>76.333333333333329</v>
      </c>
      <c r="E80" s="9">
        <v>27.473299999999998</v>
      </c>
      <c r="F80" s="10">
        <v>-2.1760311789540099</v>
      </c>
      <c r="G80" s="9">
        <v>6.75</v>
      </c>
      <c r="H80" s="9">
        <v>8.51</v>
      </c>
      <c r="I80" s="9">
        <v>7.28</v>
      </c>
    </row>
    <row r="81" spans="1:9" ht="15" customHeight="1" x14ac:dyDescent="0.45">
      <c r="A81" s="11" t="s">
        <v>98</v>
      </c>
      <c r="B81" s="6"/>
      <c r="C81" s="7">
        <v>51539.3</v>
      </c>
      <c r="D81" s="8">
        <v>77.7</v>
      </c>
      <c r="E81" s="9">
        <v>29.454370000000001</v>
      </c>
      <c r="F81" s="10">
        <v>1.06241699867291</v>
      </c>
      <c r="G81" s="9">
        <v>6.75</v>
      </c>
      <c r="H81" s="9">
        <v>8.17</v>
      </c>
      <c r="I81" s="9">
        <v>7.13</v>
      </c>
    </row>
    <row r="82" spans="1:9" ht="15" customHeight="1" x14ac:dyDescent="0.45">
      <c r="A82" s="11" t="s">
        <v>99</v>
      </c>
      <c r="B82" s="6"/>
      <c r="C82" s="7">
        <v>47975.44</v>
      </c>
      <c r="D82" s="8">
        <v>78.433333333333323</v>
      </c>
      <c r="E82" s="9">
        <v>29.01972</v>
      </c>
      <c r="F82" s="10">
        <v>-2.0367936925104599</v>
      </c>
      <c r="G82" s="9">
        <v>6.5</v>
      </c>
      <c r="H82" s="9">
        <v>8.1850000000000005</v>
      </c>
      <c r="I82" s="9">
        <v>6.97</v>
      </c>
    </row>
    <row r="83" spans="1:9" ht="15" customHeight="1" x14ac:dyDescent="0.45">
      <c r="A83" s="11" t="s">
        <v>100</v>
      </c>
      <c r="B83" s="6"/>
      <c r="C83" s="7">
        <v>51536.5</v>
      </c>
      <c r="D83" s="8">
        <v>78.733333333333334</v>
      </c>
      <c r="E83" s="9">
        <v>28.790970000000002</v>
      </c>
      <c r="F83" s="10">
        <v>-0.938967136150204</v>
      </c>
      <c r="G83" s="9">
        <v>6.5</v>
      </c>
      <c r="H83" s="9">
        <v>8.26</v>
      </c>
      <c r="I83" s="9">
        <v>6.97</v>
      </c>
    </row>
    <row r="84" spans="1:9" ht="15" customHeight="1" x14ac:dyDescent="0.45">
      <c r="A84" s="11" t="s">
        <v>101</v>
      </c>
      <c r="B84" s="6"/>
      <c r="C84" s="7">
        <v>40873.410000000003</v>
      </c>
      <c r="D84" s="8">
        <v>79.766666666666666</v>
      </c>
      <c r="E84" s="9">
        <v>29.76576</v>
      </c>
      <c r="F84" s="10">
        <v>-2.5389302640487599</v>
      </c>
      <c r="G84" s="9">
        <v>5.25</v>
      </c>
      <c r="H84" s="9">
        <v>11.435</v>
      </c>
      <c r="I84" s="9">
        <v>6.43</v>
      </c>
    </row>
    <row r="85" spans="1:9" ht="15" customHeight="1" x14ac:dyDescent="0.45">
      <c r="A85" s="11" t="s">
        <v>102</v>
      </c>
      <c r="B85" s="6"/>
      <c r="C85" s="7">
        <v>50179.89</v>
      </c>
      <c r="D85" s="8">
        <v>79.566666666666663</v>
      </c>
      <c r="E85" s="9">
        <v>24.264199999999999</v>
      </c>
      <c r="F85" s="10">
        <v>-30.461965960402999</v>
      </c>
      <c r="G85" s="9">
        <v>3.75</v>
      </c>
      <c r="H85" s="9">
        <v>9.4250000000000007</v>
      </c>
      <c r="I85" s="9">
        <v>4.43</v>
      </c>
    </row>
    <row r="86" spans="1:9" ht="15" customHeight="1" x14ac:dyDescent="0.45">
      <c r="A86" s="11" t="s">
        <v>103</v>
      </c>
      <c r="B86" s="6"/>
      <c r="C86" s="7">
        <v>49896.68</v>
      </c>
      <c r="D86" s="8">
        <v>80.866666666666674</v>
      </c>
      <c r="E86" s="9">
        <v>30.8066</v>
      </c>
      <c r="F86" s="10">
        <v>36.413586413586494</v>
      </c>
      <c r="G86" s="9">
        <v>3.5</v>
      </c>
      <c r="H86" s="9">
        <v>9.43</v>
      </c>
      <c r="I86" s="9">
        <v>3.7</v>
      </c>
    </row>
    <row r="87" spans="1:9" ht="15" customHeight="1" x14ac:dyDescent="0.45">
      <c r="A87" s="11" t="s">
        <v>104</v>
      </c>
      <c r="B87" s="6"/>
      <c r="C87" s="7">
        <v>54379.58</v>
      </c>
      <c r="D87" s="8">
        <v>81.233333333333334</v>
      </c>
      <c r="E87" s="9">
        <v>32.136139999999997</v>
      </c>
      <c r="F87" s="10">
        <v>5.0530941047235398</v>
      </c>
      <c r="G87" s="9">
        <v>3.5</v>
      </c>
      <c r="H87" s="9">
        <v>8.7349999999999994</v>
      </c>
      <c r="I87" s="9">
        <v>3.6</v>
      </c>
    </row>
    <row r="88" spans="1:9" ht="15" customHeight="1" x14ac:dyDescent="0.45">
      <c r="A88" s="11" t="s">
        <v>105</v>
      </c>
      <c r="B88" s="6"/>
      <c r="C88" s="7">
        <v>61590.239999999998</v>
      </c>
      <c r="D88" s="8">
        <v>82.233333333333334</v>
      </c>
      <c r="E88" s="9">
        <v>32.188189999999999</v>
      </c>
      <c r="F88" s="10">
        <v>-0.66225165562910904</v>
      </c>
      <c r="G88" s="9">
        <v>3.5</v>
      </c>
      <c r="H88" s="9">
        <v>9.5649999999999995</v>
      </c>
      <c r="I88" s="9">
        <v>3.8</v>
      </c>
    </row>
    <row r="89" spans="1:9" ht="15" customHeight="1" x14ac:dyDescent="0.45">
      <c r="A89" s="11" t="s">
        <v>106</v>
      </c>
      <c r="B89" s="6"/>
      <c r="C89" s="7">
        <v>60292.639999999999</v>
      </c>
      <c r="D89" s="8">
        <v>83.399999999999991</v>
      </c>
      <c r="E89" s="9">
        <v>34.756230000000002</v>
      </c>
      <c r="F89" s="10">
        <v>-0.63157894736842701</v>
      </c>
      <c r="G89" s="9">
        <v>3.5</v>
      </c>
      <c r="H89" s="9">
        <v>8.93</v>
      </c>
      <c r="I89" s="9">
        <v>3.71</v>
      </c>
    </row>
    <row r="90" spans="1:9" ht="15" customHeight="1" x14ac:dyDescent="0.45">
      <c r="A90" s="11" t="s">
        <v>107</v>
      </c>
      <c r="B90" s="6"/>
      <c r="C90" s="7">
        <v>57265.62</v>
      </c>
      <c r="D90" s="8">
        <v>84.766666666666666</v>
      </c>
      <c r="E90" s="9">
        <v>34.80142</v>
      </c>
      <c r="F90" s="10">
        <v>-4.3432203389830599</v>
      </c>
      <c r="G90" s="9">
        <v>3.5</v>
      </c>
      <c r="H90" s="9">
        <v>9.2200000000000006</v>
      </c>
      <c r="I90" s="9">
        <v>3.81</v>
      </c>
    </row>
    <row r="91" spans="1:9" ht="15" customHeight="1" x14ac:dyDescent="0.45">
      <c r="A91" s="11" t="s">
        <v>108</v>
      </c>
      <c r="B91" s="6"/>
      <c r="C91" s="7">
        <v>67052.399999999994</v>
      </c>
      <c r="D91" s="8">
        <v>85.666666666666671</v>
      </c>
      <c r="E91" s="9">
        <v>35.290999999999997</v>
      </c>
      <c r="F91" s="10">
        <v>2.5470653377630099</v>
      </c>
      <c r="G91" s="9">
        <v>3.75</v>
      </c>
      <c r="H91" s="9">
        <v>9.35</v>
      </c>
      <c r="I91" s="9">
        <v>3.81</v>
      </c>
    </row>
    <row r="92" spans="1:9" ht="15" customHeight="1" x14ac:dyDescent="0.45">
      <c r="A92" s="11" t="s">
        <v>109</v>
      </c>
      <c r="B92" s="6"/>
      <c r="C92" s="7">
        <v>68934.929999999993</v>
      </c>
      <c r="D92" s="8">
        <v>86.933333333333337</v>
      </c>
      <c r="E92" s="9">
        <v>34.243389999999998</v>
      </c>
      <c r="F92" s="10">
        <v>4.2476601871850086</v>
      </c>
      <c r="G92" s="9">
        <v>4.25</v>
      </c>
      <c r="H92" s="9">
        <v>9.6</v>
      </c>
      <c r="I92" s="9">
        <v>3.71</v>
      </c>
    </row>
    <row r="93" spans="1:9" ht="15" customHeight="1" x14ac:dyDescent="0.45">
      <c r="A93" s="11" t="s">
        <v>110</v>
      </c>
      <c r="B93" s="6"/>
      <c r="C93" s="7">
        <v>59640.36</v>
      </c>
      <c r="D93" s="8">
        <v>88.933333333333337</v>
      </c>
      <c r="E93" s="9">
        <v>34.155090000000001</v>
      </c>
      <c r="F93" s="10">
        <v>-5.3176795580110197</v>
      </c>
      <c r="G93" s="9">
        <v>4.75</v>
      </c>
      <c r="H93" s="9">
        <v>10.425000000000001</v>
      </c>
      <c r="I93" s="9">
        <v>4.6399999999999997</v>
      </c>
    </row>
    <row r="94" spans="1:9" ht="15" customHeight="1" x14ac:dyDescent="0.45">
      <c r="A94" s="11" t="s">
        <v>111</v>
      </c>
      <c r="B94" s="6"/>
      <c r="C94" s="7">
        <v>57389.7</v>
      </c>
      <c r="D94" s="8">
        <v>91.266666666666652</v>
      </c>
      <c r="E94" s="9">
        <v>32.88655</v>
      </c>
      <c r="F94" s="10">
        <v>2.2611232676878599</v>
      </c>
      <c r="G94" s="9">
        <v>6.25</v>
      </c>
      <c r="H94" s="9">
        <v>10.89</v>
      </c>
      <c r="I94" s="9">
        <v>5.64</v>
      </c>
    </row>
    <row r="95" spans="1:9" ht="15" customHeight="1" x14ac:dyDescent="0.45">
      <c r="A95" s="11" t="s">
        <v>112</v>
      </c>
      <c r="B95" s="6"/>
      <c r="C95" s="7">
        <v>66955.47</v>
      </c>
      <c r="D95" s="8">
        <v>92</v>
      </c>
      <c r="E95" s="9">
        <v>32.779609999999998</v>
      </c>
      <c r="F95" s="10">
        <v>-1.8901569186876199</v>
      </c>
      <c r="G95" s="9">
        <v>7</v>
      </c>
      <c r="H95" s="9">
        <v>10.185</v>
      </c>
      <c r="I95" s="9">
        <v>6.29</v>
      </c>
    </row>
    <row r="96" spans="1:9" ht="15" customHeight="1" x14ac:dyDescent="0.45">
      <c r="A96" s="11" t="s">
        <v>113</v>
      </c>
      <c r="B96" s="6"/>
      <c r="C96" s="7">
        <v>70497.7</v>
      </c>
      <c r="D96" s="8">
        <v>93</v>
      </c>
      <c r="E96" s="9">
        <v>32.59675</v>
      </c>
      <c r="F96" s="10">
        <v>1.49036713922213</v>
      </c>
      <c r="G96" s="9">
        <v>7.75</v>
      </c>
      <c r="H96" s="9">
        <v>9.83</v>
      </c>
      <c r="I96" s="9">
        <v>6.72</v>
      </c>
    </row>
    <row r="97" spans="1:9" ht="15" customHeight="1" x14ac:dyDescent="0.45">
      <c r="A97" s="11" t="s">
        <v>114</v>
      </c>
      <c r="B97" s="6"/>
      <c r="C97" s="7">
        <v>70705.47</v>
      </c>
      <c r="D97" s="8">
        <v>94.40000000000002</v>
      </c>
      <c r="E97" s="9">
        <v>32.687260000000002</v>
      </c>
      <c r="F97" s="10">
        <v>1.86246418338105</v>
      </c>
      <c r="G97" s="9">
        <v>8.25</v>
      </c>
      <c r="H97" s="9">
        <v>10.51</v>
      </c>
      <c r="I97" s="9">
        <v>8.11</v>
      </c>
    </row>
    <row r="98" spans="1:9" ht="15" customHeight="1" x14ac:dyDescent="0.45">
      <c r="A98" s="11" t="s">
        <v>115</v>
      </c>
      <c r="B98" s="6"/>
      <c r="C98" s="7">
        <v>66500.11</v>
      </c>
      <c r="D98" s="8">
        <v>95.800000000000011</v>
      </c>
      <c r="E98" s="9">
        <v>32.004629999999999</v>
      </c>
      <c r="F98" s="10">
        <v>-1.5119549929676099</v>
      </c>
      <c r="G98" s="9">
        <v>8.25</v>
      </c>
      <c r="H98" s="9">
        <v>10.81</v>
      </c>
      <c r="I98" s="9">
        <v>8.44</v>
      </c>
    </row>
    <row r="99" spans="1:9" ht="15" customHeight="1" x14ac:dyDescent="0.45">
      <c r="A99" s="11" t="s">
        <v>116</v>
      </c>
      <c r="B99" s="6"/>
      <c r="C99" s="7">
        <v>68156.39</v>
      </c>
      <c r="D99" s="8">
        <v>97.133333333333326</v>
      </c>
      <c r="E99" s="9">
        <v>32.217469999999999</v>
      </c>
      <c r="F99" s="10">
        <v>0.321313816494118</v>
      </c>
      <c r="G99" s="9">
        <v>8.25</v>
      </c>
      <c r="H99" s="9">
        <v>9.8650000000000002</v>
      </c>
      <c r="I99" s="9">
        <v>8.51</v>
      </c>
    </row>
    <row r="100" spans="1:9" ht="15" customHeight="1" x14ac:dyDescent="0.45">
      <c r="A100" s="11" t="s">
        <v>117</v>
      </c>
      <c r="B100" s="6"/>
      <c r="C100" s="7">
        <v>68694.720000000001</v>
      </c>
      <c r="D100" s="8">
        <v>98.066666666666677</v>
      </c>
      <c r="E100" s="9">
        <v>32.676900000000003</v>
      </c>
      <c r="F100" s="10">
        <v>-0.53380782918149805</v>
      </c>
      <c r="G100" s="9">
        <v>8.25</v>
      </c>
      <c r="H100" s="9">
        <v>10.525</v>
      </c>
      <c r="I100" s="9">
        <v>8.4600000000000009</v>
      </c>
    </row>
    <row r="101" spans="1:9" ht="15" customHeight="1" x14ac:dyDescent="0.45">
      <c r="A101" s="11" t="s">
        <v>118</v>
      </c>
      <c r="B101" s="6"/>
      <c r="C101" s="7">
        <v>73729.27</v>
      </c>
      <c r="D101" s="8">
        <v>99.266666666666652</v>
      </c>
      <c r="E101" s="9">
        <v>33.425559999999997</v>
      </c>
      <c r="F101" s="10">
        <v>0.357781753130548</v>
      </c>
      <c r="G101" s="9">
        <v>8.25</v>
      </c>
      <c r="H101" s="9">
        <v>9.76</v>
      </c>
      <c r="I101" s="9">
        <v>8.5</v>
      </c>
    </row>
    <row r="102" spans="1:9" ht="15" customHeight="1" x14ac:dyDescent="0.45">
      <c r="A102" s="11" t="s">
        <v>119</v>
      </c>
      <c r="B102" s="6"/>
      <c r="C102" s="7">
        <v>78282.37</v>
      </c>
      <c r="D102" s="8">
        <v>99.899999999999991</v>
      </c>
      <c r="E102" s="9">
        <v>32.22925</v>
      </c>
      <c r="F102" s="10">
        <v>-3.56506238858856E-2</v>
      </c>
      <c r="G102" s="9">
        <v>8</v>
      </c>
      <c r="H102" s="9">
        <v>9.2050000000000001</v>
      </c>
      <c r="I102" s="9">
        <v>8.26</v>
      </c>
    </row>
    <row r="103" spans="1:9" ht="15" customHeight="1" x14ac:dyDescent="0.45">
      <c r="A103" s="11" t="s">
        <v>120</v>
      </c>
      <c r="B103" s="6"/>
      <c r="C103" s="7">
        <v>76120.240000000005</v>
      </c>
      <c r="D103" s="8">
        <v>99.933333333333337</v>
      </c>
      <c r="E103" s="9">
        <v>32.073950000000004</v>
      </c>
      <c r="F103" s="10">
        <v>-0.713266761768938</v>
      </c>
      <c r="G103" s="9">
        <v>7.75</v>
      </c>
      <c r="H103" s="9">
        <v>9.0150000000000006</v>
      </c>
      <c r="I103" s="9">
        <v>7.92</v>
      </c>
    </row>
    <row r="104" spans="1:9" x14ac:dyDescent="0.45">
      <c r="A104" s="11" t="s">
        <v>145</v>
      </c>
      <c r="B104" s="12"/>
      <c r="C104" s="7">
        <v>74876.28</v>
      </c>
      <c r="D104" s="8">
        <v>101.03333333333335</v>
      </c>
      <c r="E104" s="9">
        <v>32.678879999999999</v>
      </c>
      <c r="F104" s="10">
        <v>-1.7959770114942899</v>
      </c>
      <c r="G104" s="9">
        <v>7.5</v>
      </c>
      <c r="H104" s="9">
        <v>11.11</v>
      </c>
      <c r="I104" s="9">
        <v>7.51</v>
      </c>
    </row>
    <row r="105" spans="1:9" x14ac:dyDescent="0.45">
      <c r="A105" s="11" t="s">
        <v>146</v>
      </c>
      <c r="B105" s="12"/>
      <c r="C105" s="7">
        <v>89400.79</v>
      </c>
      <c r="D105" s="8">
        <v>102.13333333333333</v>
      </c>
      <c r="E105" s="9">
        <v>33.182589999999998</v>
      </c>
      <c r="F105" s="10">
        <v>1.3533284564741099</v>
      </c>
      <c r="G105" s="9">
        <v>7.25</v>
      </c>
      <c r="H105" s="9">
        <v>9.74</v>
      </c>
      <c r="I105" s="9">
        <v>7.36</v>
      </c>
    </row>
    <row r="106" spans="1:9" x14ac:dyDescent="0.45">
      <c r="A106" s="11" t="s">
        <v>147</v>
      </c>
      <c r="B106" s="12"/>
      <c r="C106" s="7">
        <v>102696.68</v>
      </c>
      <c r="D106" s="8">
        <v>103.3</v>
      </c>
      <c r="E106" s="9">
        <v>31.9</v>
      </c>
      <c r="F106" s="10">
        <v>0.433056658246112</v>
      </c>
      <c r="G106" s="9">
        <v>7</v>
      </c>
      <c r="H106" s="9">
        <v>9.1850000000000005</v>
      </c>
      <c r="I106" s="9">
        <v>7.03</v>
      </c>
    </row>
    <row r="107" spans="1:9" x14ac:dyDescent="0.45">
      <c r="A107" s="11" t="s">
        <v>144</v>
      </c>
      <c r="B107" s="12"/>
      <c r="C107" s="7">
        <v>108231.56</v>
      </c>
      <c r="D107" s="8">
        <v>103.5</v>
      </c>
      <c r="E107" s="9">
        <v>31.4</v>
      </c>
      <c r="F107" s="10">
        <v>-1</v>
      </c>
      <c r="G107" s="9">
        <v>6.75</v>
      </c>
      <c r="H107" s="9">
        <v>8.24</v>
      </c>
      <c r="I107" s="9">
        <v>6.78</v>
      </c>
    </row>
    <row r="117" spans="6:6" x14ac:dyDescent="0.45">
      <c r="F117" s="1"/>
    </row>
  </sheetData>
  <mergeCells count="1">
    <mergeCell ref="A1:I1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zoomScaleNormal="100" workbookViewId="0">
      <pane ySplit="3" topLeftCell="A4" activePane="bottomLeft" state="frozen"/>
      <selection pane="bottomLeft" activeCell="C12" sqref="C12"/>
    </sheetView>
  </sheetViews>
  <sheetFormatPr defaultColWidth="8.6640625" defaultRowHeight="14.25" x14ac:dyDescent="0.45"/>
  <cols>
    <col min="1" max="1" width="12" customWidth="1"/>
    <col min="2" max="3" width="16" customWidth="1"/>
    <col min="4" max="5" width="14" customWidth="1"/>
    <col min="6" max="6" width="12" customWidth="1"/>
    <col min="7" max="7" width="14" customWidth="1"/>
    <col min="8" max="8" width="12" customWidth="1"/>
    <col min="9" max="9" width="15" customWidth="1"/>
    <col min="10" max="11" width="12" customWidth="1"/>
    <col min="12" max="12" width="14" customWidth="1"/>
  </cols>
  <sheetData>
    <row r="1" spans="1:12" ht="25.5" customHeight="1" x14ac:dyDescent="0.45">
      <c r="A1" s="13" t="s">
        <v>121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54.75" customHeight="1" x14ac:dyDescent="0.45">
      <c r="A2" s="3" t="s">
        <v>122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127</v>
      </c>
      <c r="G2" s="3" t="s">
        <v>128</v>
      </c>
      <c r="H2" s="3" t="s">
        <v>129</v>
      </c>
      <c r="I2" s="3" t="s">
        <v>153</v>
      </c>
      <c r="J2" s="3" t="s">
        <v>130</v>
      </c>
      <c r="K2" s="3" t="s">
        <v>131</v>
      </c>
      <c r="L2" s="3" t="s">
        <v>132</v>
      </c>
    </row>
    <row r="3" spans="1:12" ht="15" customHeight="1" x14ac:dyDescent="0.45">
      <c r="A3" s="12"/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  <c r="H3" s="4" t="s">
        <v>139</v>
      </c>
      <c r="I3" s="4" t="s">
        <v>140</v>
      </c>
      <c r="J3" s="4" t="s">
        <v>141</v>
      </c>
      <c r="K3" s="4" t="s">
        <v>142</v>
      </c>
      <c r="L3" s="4" t="s">
        <v>143</v>
      </c>
    </row>
    <row r="4" spans="1:12" ht="15" customHeight="1" x14ac:dyDescent="0.45">
      <c r="A4" s="14" t="str">
        <f>'1_Raw_Data'!A5</f>
        <v>2000 Q2</v>
      </c>
      <c r="B4" s="15">
        <f>IFERROR(IF('1_Raw_Data'!C5&lt;&gt;"",LN('1_Raw_Data'!C5/'1_Raw_Data'!C4),""),"")</f>
        <v>-1.1450818531000535E-2</v>
      </c>
      <c r="C4" s="15">
        <f t="shared" ref="C4:C35" si="0">IF(B5&lt;&gt;"",B5,"")</f>
        <v>8.5673926873995485E-2</v>
      </c>
      <c r="D4" s="16">
        <f t="shared" ref="D4:D35" si="1">IF(C4&lt;&gt;"",IF(C4&lt;0,1,0),"")</f>
        <v>0</v>
      </c>
      <c r="E4" s="12"/>
      <c r="F4" s="9" t="str">
        <f>'1_Raw_Data'!E5</f>
        <v>22.71</v>
      </c>
      <c r="G4" s="12"/>
      <c r="H4" s="9">
        <f>'1_Raw_Data'!G5</f>
        <v>11.75</v>
      </c>
      <c r="I4" s="9">
        <f>IF('1_Raw_Data'!H5&lt;&gt;"", '1_Raw_Data'!H5-'1_Raw_Data'!I5,"")</f>
        <v>3.6950000000000003</v>
      </c>
      <c r="J4" s="15" t="str">
        <f t="shared" ref="J4:J35" si="2">IF(E4&lt;&gt;"", (E4-AVERAGE($E$4:$E$104))/STDEV($E$4:$E$104),"")</f>
        <v/>
      </c>
      <c r="K4" s="15" t="str">
        <f t="shared" ref="K4:K35" si="3">IF(G4&lt;&gt;"", (G4-AVERAGE($G$4:$G$104))/STDEV($G$4:$G$104),"")</f>
        <v/>
      </c>
      <c r="L4" s="15">
        <f t="shared" ref="L4:L35" si="4">IF(I4&lt;&gt;"", (I4-AVERAGE($I$4:$I$104))/STDEV($I$4:$I$104),"")</f>
        <v>0.99102012858322752</v>
      </c>
    </row>
    <row r="5" spans="1:12" ht="15" customHeight="1" x14ac:dyDescent="0.45">
      <c r="A5" s="14" t="str">
        <f>'1_Raw_Data'!A6</f>
        <v>2000 Q3</v>
      </c>
      <c r="B5" s="15">
        <f>IFERROR(IF('1_Raw_Data'!C6&lt;&gt;"",LN('1_Raw_Data'!C6/'1_Raw_Data'!C5),""),"")</f>
        <v>8.5673926873995485E-2</v>
      </c>
      <c r="C5" s="15">
        <f t="shared" si="0"/>
        <v>2.5323839943115694E-2</v>
      </c>
      <c r="D5" s="16">
        <f t="shared" si="1"/>
        <v>0</v>
      </c>
      <c r="E5" s="12"/>
      <c r="F5" s="9">
        <f>'1_Raw_Data'!E6</f>
        <v>23.274039999999999</v>
      </c>
      <c r="G5" s="12"/>
      <c r="H5" s="9">
        <f>'1_Raw_Data'!G6</f>
        <v>12</v>
      </c>
      <c r="I5" s="9">
        <f>IF('1_Raw_Data'!H6&lt;&gt;"", '1_Raw_Data'!H6-'1_Raw_Data'!I6,"")</f>
        <v>3.3499999999999996</v>
      </c>
      <c r="J5" s="15" t="str">
        <f t="shared" si="2"/>
        <v/>
      </c>
      <c r="K5" s="15" t="str">
        <f t="shared" si="3"/>
        <v/>
      </c>
      <c r="L5" s="15">
        <f t="shared" si="4"/>
        <v>0.79933914242426007</v>
      </c>
    </row>
    <row r="6" spans="1:12" ht="15" customHeight="1" x14ac:dyDescent="0.45">
      <c r="A6" s="14" t="str">
        <f>'1_Raw_Data'!A7</f>
        <v>2000 Q4</v>
      </c>
      <c r="B6" s="15">
        <f>IFERROR(IF('1_Raw_Data'!C7&lt;&gt;"",LN('1_Raw_Data'!C7/'1_Raw_Data'!C6),""),"")</f>
        <v>2.5323839943115694E-2</v>
      </c>
      <c r="C6" s="15">
        <f t="shared" si="0"/>
        <v>-2.4362955403294303E-2</v>
      </c>
      <c r="D6" s="16">
        <f t="shared" si="1"/>
        <v>1</v>
      </c>
      <c r="E6" s="12"/>
      <c r="F6" s="9">
        <f>'1_Raw_Data'!E7</f>
        <v>23.274039999999999</v>
      </c>
      <c r="G6" s="12"/>
      <c r="H6" s="9">
        <f>'1_Raw_Data'!G7</f>
        <v>12</v>
      </c>
      <c r="I6" s="9">
        <f>IF('1_Raw_Data'!H7&lt;&gt;"", '1_Raw_Data'!H7-'1_Raw_Data'!I7,"")</f>
        <v>3.6310000000000002</v>
      </c>
      <c r="J6" s="15" t="str">
        <f t="shared" si="2"/>
        <v/>
      </c>
      <c r="K6" s="15" t="str">
        <f t="shared" si="3"/>
        <v/>
      </c>
      <c r="L6" s="15">
        <f t="shared" si="4"/>
        <v>0.95546191665808577</v>
      </c>
    </row>
    <row r="7" spans="1:12" ht="15" customHeight="1" x14ac:dyDescent="0.45">
      <c r="A7" s="14" t="str">
        <f>'1_Raw_Data'!A8</f>
        <v>2001 Q1</v>
      </c>
      <c r="B7" s="15">
        <f>IFERROR(IF('1_Raw_Data'!C8&lt;&gt;"",LN('1_Raw_Data'!C8/'1_Raw_Data'!C7),""),"")</f>
        <v>-2.4362955403294303E-2</v>
      </c>
      <c r="C7" s="15">
        <f t="shared" si="0"/>
        <v>0.11580080138358284</v>
      </c>
      <c r="D7" s="16">
        <f t="shared" si="1"/>
        <v>0</v>
      </c>
      <c r="E7" s="9">
        <f>IF('1_Raw_Data'!D8&lt;&gt;"",100*('1_Raw_Data'!D8-'1_Raw_Data'!D4)/'1_Raw_Data'!D4,"")</f>
        <v>7.3383084577114372</v>
      </c>
      <c r="F7" s="9">
        <f>'1_Raw_Data'!E8</f>
        <v>24.622900000000001</v>
      </c>
      <c r="G7" s="9">
        <f>IF('1_Raw_Data'!F8&lt;&gt;"",100*('1_Raw_Data'!F8-'1_Raw_Data'!F4)/'1_Raw_Data'!F4,"")</f>
        <v>-83.967770587486385</v>
      </c>
      <c r="H7" s="9">
        <f>'1_Raw_Data'!G8</f>
        <v>11</v>
      </c>
      <c r="I7" s="9">
        <f>IF('1_Raw_Data'!H8&lt;&gt;"", '1_Raw_Data'!H8-'1_Raw_Data'!I8,"")</f>
        <v>1.7679999999999989</v>
      </c>
      <c r="J7" s="15">
        <f t="shared" si="2"/>
        <v>0.81196032595249767</v>
      </c>
      <c r="K7" s="15" t="e">
        <f t="shared" si="3"/>
        <v>#DIV/0!</v>
      </c>
      <c r="L7" s="15">
        <f t="shared" si="4"/>
        <v>-7.9615408600337279E-2</v>
      </c>
    </row>
    <row r="8" spans="1:12" ht="15" customHeight="1" x14ac:dyDescent="0.45">
      <c r="A8" s="14" t="str">
        <f>'1_Raw_Data'!A9</f>
        <v>2001 Q2</v>
      </c>
      <c r="B8" s="15">
        <f>IFERROR(IF('1_Raw_Data'!C9&lt;&gt;"",LN('1_Raw_Data'!C9/'1_Raw_Data'!C8),""),"")</f>
        <v>0.11580080138358284</v>
      </c>
      <c r="C8" s="15">
        <f t="shared" si="0"/>
        <v>-0.11144133445104634</v>
      </c>
      <c r="D8" s="16">
        <f t="shared" si="1"/>
        <v>1</v>
      </c>
      <c r="E8" s="9">
        <f>IF('1_Raw_Data'!D9&lt;&gt;"",100*('1_Raw_Data'!D9-'1_Raw_Data'!D5)/'1_Raw_Data'!D5,"")</f>
        <v>6.3260340632603711</v>
      </c>
      <c r="F8" s="9">
        <f>'1_Raw_Data'!E9</f>
        <v>24.622900000000001</v>
      </c>
      <c r="G8" s="9">
        <f>IF('1_Raw_Data'!F9&lt;&gt;"",100*('1_Raw_Data'!F9-'1_Raw_Data'!F5)/'1_Raw_Data'!F5,"")</f>
        <v>-4.7201138519819779</v>
      </c>
      <c r="H8" s="9">
        <f>'1_Raw_Data'!G9</f>
        <v>11</v>
      </c>
      <c r="I8" s="9">
        <f>IF('1_Raw_Data'!H9&lt;&gt;"", '1_Raw_Data'!H9-'1_Raw_Data'!I9,"")</f>
        <v>1.9480000000000004</v>
      </c>
      <c r="J8" s="15">
        <f t="shared" si="2"/>
        <v>0.37546014891965579</v>
      </c>
      <c r="K8" s="15" t="e">
        <f t="shared" si="3"/>
        <v>#DIV/0!</v>
      </c>
      <c r="L8" s="15">
        <f t="shared" si="4"/>
        <v>2.0392062439124638E-2</v>
      </c>
    </row>
    <row r="9" spans="1:12" ht="15" customHeight="1" x14ac:dyDescent="0.45">
      <c r="A9" s="14" t="str">
        <f>'1_Raw_Data'!A10</f>
        <v>2001 Q3</v>
      </c>
      <c r="B9" s="15">
        <f>IFERROR(IF('1_Raw_Data'!C10&lt;&gt;"",LN('1_Raw_Data'!C10/'1_Raw_Data'!C9),""),"")</f>
        <v>-0.11144133445104634</v>
      </c>
      <c r="C9" s="15">
        <f t="shared" si="0"/>
        <v>0.27338289575856439</v>
      </c>
      <c r="D9" s="16">
        <f t="shared" si="1"/>
        <v>0</v>
      </c>
      <c r="E9" s="9">
        <f>IF('1_Raw_Data'!D10&lt;&gt;"",100*('1_Raw_Data'!D10-'1_Raw_Data'!D6)/'1_Raw_Data'!D6,"")</f>
        <v>4.8984468339306932</v>
      </c>
      <c r="F9" s="9">
        <f>'1_Raw_Data'!E10</f>
        <v>26.157450000000001</v>
      </c>
      <c r="G9" s="9">
        <f>IF('1_Raw_Data'!F10&lt;&gt;"",100*('1_Raw_Data'!F10-'1_Raw_Data'!F6)/'1_Raw_Data'!F6,"")</f>
        <v>-108.00411730530871</v>
      </c>
      <c r="H9" s="9">
        <f>'1_Raw_Data'!G10</f>
        <v>10</v>
      </c>
      <c r="I9" s="9">
        <f>IF('1_Raw_Data'!H10&lt;&gt;"", '1_Raw_Data'!H10-'1_Raw_Data'!I10,"")</f>
        <v>2.8499999999999996</v>
      </c>
      <c r="J9" s="15">
        <f t="shared" si="2"/>
        <v>-0.24012598241792943</v>
      </c>
      <c r="K9" s="15" t="e">
        <f t="shared" si="3"/>
        <v>#DIV/0!</v>
      </c>
      <c r="L9" s="15">
        <f t="shared" si="4"/>
        <v>0.52154061175909039</v>
      </c>
    </row>
    <row r="10" spans="1:12" ht="15" customHeight="1" x14ac:dyDescent="0.45">
      <c r="A10" s="14" t="str">
        <f>'1_Raw_Data'!A11</f>
        <v>2001 Q4</v>
      </c>
      <c r="B10" s="15">
        <f>IFERROR(IF('1_Raw_Data'!C11&lt;&gt;"",LN('1_Raw_Data'!C11/'1_Raw_Data'!C10),""),"")</f>
        <v>0.27338289575856439</v>
      </c>
      <c r="C10" s="15">
        <f t="shared" si="0"/>
        <v>5.49648597789721E-2</v>
      </c>
      <c r="D10" s="16">
        <f t="shared" si="1"/>
        <v>0</v>
      </c>
      <c r="E10" s="9">
        <f>IF('1_Raw_Data'!D11&lt;&gt;"",100*('1_Raw_Data'!D11-'1_Raw_Data'!D7)/'1_Raw_Data'!D7,"")</f>
        <v>4.2502951593860656</v>
      </c>
      <c r="F10" s="9">
        <f>'1_Raw_Data'!E11</f>
        <v>26.157450000000001</v>
      </c>
      <c r="G10" s="9">
        <f>IF('1_Raw_Data'!F11&lt;&gt;"",100*('1_Raw_Data'!F11-'1_Raw_Data'!F7)/'1_Raw_Data'!F7,"")</f>
        <v>278.14768242424498</v>
      </c>
      <c r="H10" s="9">
        <f>'1_Raw_Data'!G11</f>
        <v>9.5</v>
      </c>
      <c r="I10" s="9">
        <f>IF('1_Raw_Data'!H11&lt;&gt;"", '1_Raw_Data'!H11-'1_Raw_Data'!I11,"")</f>
        <v>3.4290000000000003</v>
      </c>
      <c r="J10" s="15">
        <f t="shared" si="2"/>
        <v>-0.51961375987601988</v>
      </c>
      <c r="K10" s="15" t="e">
        <f t="shared" si="3"/>
        <v>#DIV/0!</v>
      </c>
      <c r="L10" s="15">
        <f t="shared" si="4"/>
        <v>0.84323131026935716</v>
      </c>
    </row>
    <row r="11" spans="1:12" ht="15" customHeight="1" x14ac:dyDescent="0.45">
      <c r="A11" s="14" t="str">
        <f>'1_Raw_Data'!A12</f>
        <v>2002 Q1</v>
      </c>
      <c r="B11" s="15">
        <f>IFERROR(IF('1_Raw_Data'!C12&lt;&gt;"",LN('1_Raw_Data'!C12/'1_Raw_Data'!C11),""),"")</f>
        <v>5.49648597789721E-2</v>
      </c>
      <c r="C11" s="15">
        <f t="shared" si="0"/>
        <v>-9.4319710548747007E-2</v>
      </c>
      <c r="D11" s="16">
        <f t="shared" si="1"/>
        <v>1</v>
      </c>
      <c r="E11" s="9">
        <f>IF('1_Raw_Data'!D12&lt;&gt;"",100*('1_Raw_Data'!D12-'1_Raw_Data'!D8)/'1_Raw_Data'!D8,"")</f>
        <v>5.6778679026651329</v>
      </c>
      <c r="F11" s="9">
        <f>'1_Raw_Data'!E12</f>
        <v>27.733930000000001</v>
      </c>
      <c r="G11" s="9">
        <f>IF('1_Raw_Data'!F12&lt;&gt;"",100*('1_Raw_Data'!F12-'1_Raw_Data'!F8)/'1_Raw_Data'!F8,"")</f>
        <v>57.639401772491219</v>
      </c>
      <c r="H11" s="9">
        <f>'1_Raw_Data'!G12</f>
        <v>11.5</v>
      </c>
      <c r="I11" s="9">
        <f>IF('1_Raw_Data'!H12&lt;&gt;"", '1_Raw_Data'!H12-'1_Raw_Data'!I12,"")</f>
        <v>2.5640000000000001</v>
      </c>
      <c r="J11" s="15">
        <f t="shared" si="2"/>
        <v>9.5966124969813021E-2</v>
      </c>
      <c r="K11" s="15" t="e">
        <f t="shared" si="3"/>
        <v>#DIV/0!</v>
      </c>
      <c r="L11" s="15">
        <f t="shared" si="4"/>
        <v>0.3626398522186135</v>
      </c>
    </row>
    <row r="12" spans="1:12" ht="15" customHeight="1" x14ac:dyDescent="0.45">
      <c r="A12" s="14" t="str">
        <f>'1_Raw_Data'!A13</f>
        <v>2002 Q2</v>
      </c>
      <c r="B12" s="15">
        <f>IFERROR(IF('1_Raw_Data'!C13&lt;&gt;"",LN('1_Raw_Data'!C13/'1_Raw_Data'!C12),""),"")</f>
        <v>-9.4319710548747007E-2</v>
      </c>
      <c r="C12" s="15">
        <f t="shared" si="0"/>
        <v>-0.10984721767497835</v>
      </c>
      <c r="D12" s="16">
        <f t="shared" si="1"/>
        <v>1</v>
      </c>
      <c r="E12" s="9">
        <f>IF('1_Raw_Data'!D13&lt;&gt;"",100*('1_Raw_Data'!D13-'1_Raw_Data'!D9)/'1_Raw_Data'!D9,"")</f>
        <v>7.7803203661326945</v>
      </c>
      <c r="F12" s="9">
        <f>'1_Raw_Data'!E13</f>
        <v>27.733930000000001</v>
      </c>
      <c r="G12" s="9">
        <f>IF('1_Raw_Data'!F13&lt;&gt;"",100*('1_Raw_Data'!F13-'1_Raw_Data'!F9)/'1_Raw_Data'!F9,"")</f>
        <v>-159.59347524947833</v>
      </c>
      <c r="H12" s="9">
        <f>'1_Raw_Data'!G13</f>
        <v>12.5</v>
      </c>
      <c r="I12" s="9">
        <f>IF('1_Raw_Data'!H13&lt;&gt;"", '1_Raw_Data'!H13-'1_Raw_Data'!I13,"")</f>
        <v>1.3940000000000001</v>
      </c>
      <c r="J12" s="15">
        <f t="shared" si="2"/>
        <v>1.0025591174798969</v>
      </c>
      <c r="K12" s="15" t="e">
        <f t="shared" si="3"/>
        <v>#DIV/0!</v>
      </c>
      <c r="L12" s="15">
        <f t="shared" si="4"/>
        <v>-0.28740870953788356</v>
      </c>
    </row>
    <row r="13" spans="1:12" ht="15" customHeight="1" x14ac:dyDescent="0.45">
      <c r="A13" s="14" t="str">
        <f>'1_Raw_Data'!A14</f>
        <v>2002 Q3</v>
      </c>
      <c r="B13" s="15">
        <f>IFERROR(IF('1_Raw_Data'!C14&lt;&gt;"",LN('1_Raw_Data'!C14/'1_Raw_Data'!C13),""),"")</f>
        <v>-0.10984721767497835</v>
      </c>
      <c r="C13" s="15">
        <f t="shared" si="0"/>
        <v>-3.4614812315157575E-2</v>
      </c>
      <c r="D13" s="16">
        <f t="shared" si="1"/>
        <v>1</v>
      </c>
      <c r="E13" s="9">
        <f>IF('1_Raw_Data'!D14&lt;&gt;"",100*('1_Raw_Data'!D14-'1_Raw_Data'!D10)/'1_Raw_Data'!D10,"")</f>
        <v>10.364464692482933</v>
      </c>
      <c r="F13" s="9">
        <f>'1_Raw_Data'!E14</f>
        <v>26.617069999999998</v>
      </c>
      <c r="G13" s="9">
        <f>IF('1_Raw_Data'!F14&lt;&gt;"",100*('1_Raw_Data'!F14-'1_Raw_Data'!F10)/'1_Raw_Data'!F10,"")</f>
        <v>-345.88706739534803</v>
      </c>
      <c r="H13" s="9">
        <f>'1_Raw_Data'!G14</f>
        <v>13.5</v>
      </c>
      <c r="I13" s="9">
        <f>IF('1_Raw_Data'!H14&lt;&gt;"", '1_Raw_Data'!H14-'1_Raw_Data'!I14,"")</f>
        <v>0.98100000000000165</v>
      </c>
      <c r="J13" s="15">
        <f t="shared" si="2"/>
        <v>2.116861190231595</v>
      </c>
      <c r="K13" s="15" t="e">
        <f t="shared" si="3"/>
        <v>#DIV/0!</v>
      </c>
      <c r="L13" s="15">
        <f t="shared" si="4"/>
        <v>-0.51687029586731281</v>
      </c>
    </row>
    <row r="14" spans="1:12" ht="15" customHeight="1" x14ac:dyDescent="0.45">
      <c r="A14" s="14" t="str">
        <f>'1_Raw_Data'!A15</f>
        <v>2002 Q4</v>
      </c>
      <c r="B14" s="15">
        <f>IFERROR(IF('1_Raw_Data'!C15&lt;&gt;"",LN('1_Raw_Data'!C15/'1_Raw_Data'!C14),""),"")</f>
        <v>-3.4614812315157575E-2</v>
      </c>
      <c r="C14" s="15">
        <f t="shared" si="0"/>
        <v>-0.18086838190441887</v>
      </c>
      <c r="D14" s="16">
        <f t="shared" si="1"/>
        <v>1</v>
      </c>
      <c r="E14" s="9">
        <f>IF('1_Raw_Data'!D15&lt;&gt;"",100*('1_Raw_Data'!D15-'1_Raw_Data'!D11)/'1_Raw_Data'!D11,"")</f>
        <v>12.684031710079291</v>
      </c>
      <c r="F14" s="9">
        <f>'1_Raw_Data'!E15</f>
        <v>26.617069999999998</v>
      </c>
      <c r="G14" s="9">
        <f>IF('1_Raw_Data'!F15&lt;&gt;"",100*('1_Raw_Data'!F15-'1_Raw_Data'!F11)/'1_Raw_Data'!F11,"")</f>
        <v>-100</v>
      </c>
      <c r="H14" s="9">
        <f>'1_Raw_Data'!G15</f>
        <v>13.5</v>
      </c>
      <c r="I14" s="9">
        <f>IF('1_Raw_Data'!H15&lt;&gt;"", '1_Raw_Data'!H15-'1_Raw_Data'!I15,"")</f>
        <v>-0.88199999999999967</v>
      </c>
      <c r="J14" s="15">
        <f t="shared" si="2"/>
        <v>3.1170755781193793</v>
      </c>
      <c r="K14" s="15" t="e">
        <f t="shared" si="3"/>
        <v>#DIV/0!</v>
      </c>
      <c r="L14" s="15">
        <f t="shared" si="4"/>
        <v>-1.5519476211257357</v>
      </c>
    </row>
    <row r="15" spans="1:12" ht="15" customHeight="1" x14ac:dyDescent="0.45">
      <c r="A15" s="14" t="str">
        <f>'1_Raw_Data'!A16</f>
        <v>2003 Q1</v>
      </c>
      <c r="B15" s="15">
        <f>IFERROR(IF('1_Raw_Data'!C16&lt;&gt;"",LN('1_Raw_Data'!C16/'1_Raw_Data'!C15),""),"")</f>
        <v>-0.18086838190441887</v>
      </c>
      <c r="C15" s="15">
        <f t="shared" si="0"/>
        <v>6.6885558648669893E-2</v>
      </c>
      <c r="D15" s="16">
        <f t="shared" si="1"/>
        <v>0</v>
      </c>
      <c r="E15" s="9">
        <f>IF('1_Raw_Data'!D16&lt;&gt;"",100*('1_Raw_Data'!D16-'1_Raw_Data'!D12)/'1_Raw_Data'!D12,"")</f>
        <v>10.635964912280693</v>
      </c>
      <c r="F15" s="9">
        <f>'1_Raw_Data'!E16</f>
        <v>29.331230000000001</v>
      </c>
      <c r="G15" s="9">
        <f>IF('1_Raw_Data'!F16&lt;&gt;"",100*('1_Raw_Data'!F16-'1_Raw_Data'!F12)/'1_Raw_Data'!F12,"")</f>
        <v>-538.0654878116984</v>
      </c>
      <c r="H15" s="9">
        <f>'1_Raw_Data'!G16</f>
        <v>13.5</v>
      </c>
      <c r="I15" s="9">
        <f>IF('1_Raw_Data'!H16&lt;&gt;"", '1_Raw_Data'!H16-'1_Raw_Data'!I16,"")</f>
        <v>-0.64300000000000068</v>
      </c>
      <c r="J15" s="15">
        <f t="shared" si="2"/>
        <v>2.2339340853436389</v>
      </c>
      <c r="K15" s="15" t="e">
        <f t="shared" si="3"/>
        <v>#DIV/0!</v>
      </c>
      <c r="L15" s="15">
        <f t="shared" si="4"/>
        <v>-1.4191599234677852</v>
      </c>
    </row>
    <row r="16" spans="1:12" ht="15" customHeight="1" x14ac:dyDescent="0.45">
      <c r="A16" s="14" t="str">
        <f>'1_Raw_Data'!A17</f>
        <v>2003 Q2</v>
      </c>
      <c r="B16" s="15">
        <f>IFERROR(IF('1_Raw_Data'!C17&lt;&gt;"",LN('1_Raw_Data'!C17/'1_Raw_Data'!C16),""),"")</f>
        <v>6.6885558648669893E-2</v>
      </c>
      <c r="C16" s="15">
        <f t="shared" si="0"/>
        <v>6.7770582441820451E-2</v>
      </c>
      <c r="D16" s="16">
        <f t="shared" si="1"/>
        <v>0</v>
      </c>
      <c r="E16" s="9">
        <f>IF('1_Raw_Data'!D17&lt;&gt;"",100*('1_Raw_Data'!D17-'1_Raw_Data'!D13)/'1_Raw_Data'!D13,"")</f>
        <v>7.8556263269639244</v>
      </c>
      <c r="F16" s="9">
        <f>'1_Raw_Data'!E17</f>
        <v>29.331230000000001</v>
      </c>
      <c r="G16" s="9">
        <f>IF('1_Raw_Data'!F17&lt;&gt;"",100*('1_Raw_Data'!F17-'1_Raw_Data'!F13)/'1_Raw_Data'!F13,"")</f>
        <v>-141.99074074073687</v>
      </c>
      <c r="H16" s="9">
        <f>'1_Raw_Data'!G17</f>
        <v>12</v>
      </c>
      <c r="I16" s="9">
        <f>IF('1_Raw_Data'!H17&lt;&gt;"", '1_Raw_Data'!H17-'1_Raw_Data'!I17,"")</f>
        <v>-0.59800000000000075</v>
      </c>
      <c r="J16" s="15">
        <f t="shared" si="2"/>
        <v>1.0350316026229054</v>
      </c>
      <c r="K16" s="15" t="e">
        <f t="shared" si="3"/>
        <v>#DIV/0!</v>
      </c>
      <c r="L16" s="15">
        <f t="shared" si="4"/>
        <v>-1.3941580557079201</v>
      </c>
    </row>
    <row r="17" spans="1:12" ht="15" customHeight="1" x14ac:dyDescent="0.45">
      <c r="A17" s="14" t="str">
        <f>'1_Raw_Data'!A18</f>
        <v>2003 Q3</v>
      </c>
      <c r="B17" s="15">
        <f>IFERROR(IF('1_Raw_Data'!C18&lt;&gt;"",LN('1_Raw_Data'!C18/'1_Raw_Data'!C17),""),"")</f>
        <v>6.7770582441820451E-2</v>
      </c>
      <c r="C17" s="15">
        <f t="shared" si="0"/>
        <v>0.14097533940337437</v>
      </c>
      <c r="D17" s="16">
        <f t="shared" si="1"/>
        <v>0</v>
      </c>
      <c r="E17" s="9">
        <f>IF('1_Raw_Data'!D18&lt;&gt;"",100*('1_Raw_Data'!D18-'1_Raw_Data'!D14)/'1_Raw_Data'!D14,"")</f>
        <v>4.7471620227037903</v>
      </c>
      <c r="F17" s="9">
        <f>'1_Raw_Data'!E18</f>
        <v>24.814540000000001</v>
      </c>
      <c r="G17" s="9">
        <f>IF('1_Raw_Data'!F18&lt;&gt;"",100*('1_Raw_Data'!F18-'1_Raw_Data'!F14)/'1_Raw_Data'!F14,"")</f>
        <v>-241.29253645983619</v>
      </c>
      <c r="H17" s="9">
        <f>'1_Raw_Data'!G18</f>
        <v>10</v>
      </c>
      <c r="I17" s="9">
        <f>IF('1_Raw_Data'!H18&lt;&gt;"", '1_Raw_Data'!H18-'1_Raw_Data'!I18,"")</f>
        <v>0.10899999999999999</v>
      </c>
      <c r="J17" s="15">
        <f t="shared" si="2"/>
        <v>-0.30536110764179025</v>
      </c>
      <c r="K17" s="15" t="e">
        <f t="shared" si="3"/>
        <v>#DIV/0!</v>
      </c>
      <c r="L17" s="15">
        <f t="shared" si="4"/>
        <v>-1.0013509333473698</v>
      </c>
    </row>
    <row r="18" spans="1:12" ht="15" customHeight="1" x14ac:dyDescent="0.45">
      <c r="A18" s="14" t="str">
        <f>'1_Raw_Data'!A19</f>
        <v>2003 Q4</v>
      </c>
      <c r="B18" s="15">
        <f>IFERROR(IF('1_Raw_Data'!C19&lt;&gt;"",LN('1_Raw_Data'!C19/'1_Raw_Data'!C18),""),"")</f>
        <v>0.14097533940337437</v>
      </c>
      <c r="C18" s="15">
        <f t="shared" si="0"/>
        <v>3.613386157485015E-2</v>
      </c>
      <c r="D18" s="16">
        <f t="shared" si="1"/>
        <v>0</v>
      </c>
      <c r="E18" s="9">
        <f>IF('1_Raw_Data'!D19&lt;&gt;"",100*('1_Raw_Data'!D19-'1_Raw_Data'!D15)/'1_Raw_Data'!D15,"")</f>
        <v>0.60301507537687149</v>
      </c>
      <c r="F18" s="9">
        <f>'1_Raw_Data'!E19</f>
        <v>24.814540000000001</v>
      </c>
      <c r="G18" s="9" t="e">
        <f>IF('1_Raw_Data'!F19&lt;&gt;"",100*('1_Raw_Data'!F19-'1_Raw_Data'!F15)/'1_Raw_Data'!F15,"")</f>
        <v>#DIV/0!</v>
      </c>
      <c r="H18" s="9">
        <f>'1_Raw_Data'!G19</f>
        <v>8</v>
      </c>
      <c r="I18" s="9">
        <f>IF('1_Raw_Data'!H19&lt;&gt;"", '1_Raw_Data'!H19-'1_Raw_Data'!I19,"")</f>
        <v>3.25</v>
      </c>
      <c r="J18" s="15">
        <f t="shared" si="2"/>
        <v>-2.0923478042076442</v>
      </c>
      <c r="K18" s="15" t="e">
        <f t="shared" si="3"/>
        <v>#DIV/0!</v>
      </c>
      <c r="L18" s="15">
        <f t="shared" si="4"/>
        <v>0.74377943629122634</v>
      </c>
    </row>
    <row r="19" spans="1:12" ht="15" customHeight="1" x14ac:dyDescent="0.45">
      <c r="A19" s="14" t="str">
        <f>'1_Raw_Data'!A20</f>
        <v>2004 Q1</v>
      </c>
      <c r="B19" s="15">
        <f>IFERROR(IF('1_Raw_Data'!C20&lt;&gt;"",LN('1_Raw_Data'!C20/'1_Raw_Data'!C19),""),"")</f>
        <v>3.613386157485015E-2</v>
      </c>
      <c r="C19" s="15">
        <f t="shared" si="0"/>
        <v>-8.7364017613289768E-2</v>
      </c>
      <c r="D19" s="16">
        <f t="shared" si="1"/>
        <v>1</v>
      </c>
      <c r="E19" s="9">
        <f>IF('1_Raw_Data'!D20&lt;&gt;"",100*('1_Raw_Data'!D20-'1_Raw_Data'!D16)/'1_Raw_Data'!D16,"")</f>
        <v>0.49554013875125297</v>
      </c>
      <c r="F19" s="9">
        <f>'1_Raw_Data'!E20</f>
        <v>26.354800000000001</v>
      </c>
      <c r="G19" s="9">
        <f>IF('1_Raw_Data'!F20&lt;&gt;"",100*('1_Raw_Data'!F20-'1_Raw_Data'!F16)/'1_Raw_Data'!F16,"")</f>
        <v>-196.02816392850849</v>
      </c>
      <c r="H19" s="9">
        <f>'1_Raw_Data'!G20</f>
        <v>8</v>
      </c>
      <c r="I19" s="9">
        <f>IF('1_Raw_Data'!H20&lt;&gt;"", '1_Raw_Data'!H20-'1_Raw_Data'!I20,"")</f>
        <v>1.7599999999999989</v>
      </c>
      <c r="J19" s="15">
        <f t="shared" si="2"/>
        <v>-2.1386917887249211</v>
      </c>
      <c r="K19" s="15" t="e">
        <f t="shared" si="3"/>
        <v>#DIV/0!</v>
      </c>
      <c r="L19" s="15">
        <f t="shared" si="4"/>
        <v>-8.4060185090979997E-2</v>
      </c>
    </row>
    <row r="20" spans="1:12" ht="15" customHeight="1" x14ac:dyDescent="0.45">
      <c r="A20" s="14" t="str">
        <f>'1_Raw_Data'!A21</f>
        <v>2004 Q2</v>
      </c>
      <c r="B20" s="15">
        <f>IFERROR(IF('1_Raw_Data'!C21&lt;&gt;"",LN('1_Raw_Data'!C21/'1_Raw_Data'!C20),""),"")</f>
        <v>-8.7364017613289768E-2</v>
      </c>
      <c r="C20" s="15">
        <f t="shared" si="0"/>
        <v>0.17494767706109943</v>
      </c>
      <c r="D20" s="16">
        <f t="shared" si="1"/>
        <v>0</v>
      </c>
      <c r="E20" s="9">
        <f>IF('1_Raw_Data'!D21&lt;&gt;"",100*('1_Raw_Data'!D21-'1_Raw_Data'!D17)/'1_Raw_Data'!D17,"")</f>
        <v>0.49212598425196152</v>
      </c>
      <c r="F20" s="9">
        <f>'1_Raw_Data'!E21</f>
        <v>26.354800000000001</v>
      </c>
      <c r="G20" s="9">
        <f>IF('1_Raw_Data'!F21&lt;&gt;"",100*('1_Raw_Data'!F21-'1_Raw_Data'!F17)/'1_Raw_Data'!F17,"")</f>
        <v>-654.2521994135592</v>
      </c>
      <c r="H20" s="9">
        <f>'1_Raw_Data'!G21</f>
        <v>8</v>
      </c>
      <c r="I20" s="9">
        <f>IF('1_Raw_Data'!H21&lt;&gt;"", '1_Raw_Data'!H21-'1_Raw_Data'!I21,"")</f>
        <v>2.2400000000000002</v>
      </c>
      <c r="J20" s="15">
        <f t="shared" si="2"/>
        <v>-2.1401639972995206</v>
      </c>
      <c r="K20" s="15" t="e">
        <f t="shared" si="3"/>
        <v>#DIV/0!</v>
      </c>
      <c r="L20" s="15">
        <f t="shared" si="4"/>
        <v>0.18262640434758365</v>
      </c>
    </row>
    <row r="21" spans="1:12" ht="15" customHeight="1" x14ac:dyDescent="0.45">
      <c r="A21" s="14" t="str">
        <f>'1_Raw_Data'!A22</f>
        <v>2004 Q3</v>
      </c>
      <c r="B21" s="15">
        <f>IFERROR(IF('1_Raw_Data'!C22&lt;&gt;"",LN('1_Raw_Data'!C22/'1_Raw_Data'!C21),""),"")</f>
        <v>0.17494767706109943</v>
      </c>
      <c r="C21" s="15">
        <f t="shared" si="0"/>
        <v>4.6621807671678638E-2</v>
      </c>
      <c r="D21" s="16">
        <f t="shared" si="1"/>
        <v>0</v>
      </c>
      <c r="E21" s="9">
        <f>IF('1_Raw_Data'!D22&lt;&gt;"",100*('1_Raw_Data'!D22-'1_Raw_Data'!D18)/'1_Raw_Data'!D18,"")</f>
        <v>1.3793103448275921</v>
      </c>
      <c r="F21" s="9">
        <f>'1_Raw_Data'!E22</f>
        <v>22.977900000000002</v>
      </c>
      <c r="G21" s="9">
        <f>IF('1_Raw_Data'!F22&lt;&gt;"",100*('1_Raw_Data'!F22-'1_Raw_Data'!F18)/'1_Raw_Data'!F18,"")</f>
        <v>-379.13473818645753</v>
      </c>
      <c r="H21" s="9">
        <f>'1_Raw_Data'!G22</f>
        <v>7.5</v>
      </c>
      <c r="I21" s="9">
        <f>IF('1_Raw_Data'!H22&lt;&gt;"", '1_Raw_Data'!H22-'1_Raw_Data'!I22,"")</f>
        <v>1.0419999999999998</v>
      </c>
      <c r="J21" s="15">
        <f t="shared" si="2"/>
        <v>-1.7576035645010282</v>
      </c>
      <c r="K21" s="15" t="e">
        <f t="shared" si="3"/>
        <v>#DIV/0!</v>
      </c>
      <c r="L21" s="15">
        <f t="shared" si="4"/>
        <v>-0.48297887512616317</v>
      </c>
    </row>
    <row r="22" spans="1:12" ht="15" customHeight="1" x14ac:dyDescent="0.45">
      <c r="A22" s="14" t="str">
        <f>'1_Raw_Data'!A23</f>
        <v>2004 Q4</v>
      </c>
      <c r="B22" s="15">
        <f>IFERROR(IF('1_Raw_Data'!C23&lt;&gt;"",LN('1_Raw_Data'!C23/'1_Raw_Data'!C22),""),"")</f>
        <v>4.6621807671678638E-2</v>
      </c>
      <c r="C22" s="15">
        <f t="shared" si="0"/>
        <v>6.8119828942748484E-2</v>
      </c>
      <c r="D22" s="16">
        <f t="shared" si="1"/>
        <v>0</v>
      </c>
      <c r="E22" s="9">
        <f>IF('1_Raw_Data'!D23&lt;&gt;"",100*('1_Raw_Data'!D23-'1_Raw_Data'!D19)/'1_Raw_Data'!D19,"")</f>
        <v>3.296703296703301</v>
      </c>
      <c r="F22" s="9">
        <f>'1_Raw_Data'!E23</f>
        <v>22.977900000000002</v>
      </c>
      <c r="G22" s="9">
        <f>IF('1_Raw_Data'!F23&lt;&gt;"",100*('1_Raw_Data'!F23-'1_Raw_Data'!F19)/'1_Raw_Data'!F19,"")</f>
        <v>-900.84626234196458</v>
      </c>
      <c r="H22" s="9">
        <f>'1_Raw_Data'!G23</f>
        <v>7.5</v>
      </c>
      <c r="I22" s="9">
        <f>IF('1_Raw_Data'!H23&lt;&gt;"", '1_Raw_Data'!H23-'1_Raw_Data'!I23,"")</f>
        <v>0.96300000000000097</v>
      </c>
      <c r="J22" s="15">
        <f t="shared" si="2"/>
        <v>-0.93080959685441489</v>
      </c>
      <c r="K22" s="15" t="e">
        <f t="shared" si="3"/>
        <v>#DIV/0!</v>
      </c>
      <c r="L22" s="15">
        <f t="shared" si="4"/>
        <v>-0.52687104297125931</v>
      </c>
    </row>
    <row r="23" spans="1:12" ht="15" customHeight="1" x14ac:dyDescent="0.45">
      <c r="A23" s="14" t="str">
        <f>'1_Raw_Data'!A24</f>
        <v>2005 Q1</v>
      </c>
      <c r="B23" s="15">
        <f>IFERROR(IF('1_Raw_Data'!C24&lt;&gt;"",LN('1_Raw_Data'!C24/'1_Raw_Data'!C23),""),"")</f>
        <v>6.8119828942748484E-2</v>
      </c>
      <c r="C23" s="15">
        <f t="shared" si="0"/>
        <v>5.8598392518647333E-2</v>
      </c>
      <c r="D23" s="16">
        <f t="shared" si="1"/>
        <v>0</v>
      </c>
      <c r="E23" s="9">
        <f>IF('1_Raw_Data'!D24&lt;&gt;"",100*('1_Raw_Data'!D24-'1_Raw_Data'!D20)/'1_Raw_Data'!D20,"")</f>
        <v>2.7613412228796741</v>
      </c>
      <c r="F23" s="9">
        <f>'1_Raw_Data'!E24</f>
        <v>24.210460000000001</v>
      </c>
      <c r="G23" s="9">
        <f>IF('1_Raw_Data'!F24&lt;&gt;"",100*('1_Raw_Data'!F24-'1_Raw_Data'!F20)/'1_Raw_Data'!F20,"")</f>
        <v>-5.1436679673645589</v>
      </c>
      <c r="H23" s="9">
        <f>'1_Raw_Data'!G24</f>
        <v>7.5</v>
      </c>
      <c r="I23" s="9">
        <f>IF('1_Raw_Data'!H24&lt;&gt;"", '1_Raw_Data'!H24-'1_Raw_Data'!I24,"")</f>
        <v>0.67099999999999937</v>
      </c>
      <c r="J23" s="15">
        <f t="shared" si="2"/>
        <v>-1.1616616674803888</v>
      </c>
      <c r="K23" s="15" t="e">
        <f t="shared" si="3"/>
        <v>#DIV/0!</v>
      </c>
      <c r="L23" s="15">
        <f t="shared" si="4"/>
        <v>-0.68910538487971928</v>
      </c>
    </row>
    <row r="24" spans="1:12" ht="15" customHeight="1" x14ac:dyDescent="0.45">
      <c r="A24" s="14" t="str">
        <f>'1_Raw_Data'!A25</f>
        <v>2005 Q2</v>
      </c>
      <c r="B24" s="15">
        <f>IFERROR(IF('1_Raw_Data'!C25&lt;&gt;"",LN('1_Raw_Data'!C25/'1_Raw_Data'!C24),""),"")</f>
        <v>5.8598392518647333E-2</v>
      </c>
      <c r="C24" s="15">
        <f t="shared" si="0"/>
        <v>0.17116786984682705</v>
      </c>
      <c r="D24" s="16">
        <f t="shared" si="1"/>
        <v>0</v>
      </c>
      <c r="E24" s="9">
        <f>IF('1_Raw_Data'!D25&lt;&gt;"",100*('1_Raw_Data'!D25-'1_Raw_Data'!D21)/'1_Raw_Data'!D21,"")</f>
        <v>3.1341821743388936</v>
      </c>
      <c r="F24" s="9">
        <f>'1_Raw_Data'!E25</f>
        <v>24.210460000000001</v>
      </c>
      <c r="G24" s="9">
        <f>IF('1_Raw_Data'!F25&lt;&gt;"",100*('1_Raw_Data'!F25-'1_Raw_Data'!F21)/'1_Raw_Data'!F21,"")</f>
        <v>-115.26030530555411</v>
      </c>
      <c r="H24" s="9">
        <f>'1_Raw_Data'!G25</f>
        <v>7</v>
      </c>
      <c r="I24" s="9">
        <f>IF('1_Raw_Data'!H25&lt;&gt;"", '1_Raw_Data'!H25-'1_Raw_Data'!I25,"")</f>
        <v>0.69999999999999929</v>
      </c>
      <c r="J24" s="15">
        <f t="shared" si="2"/>
        <v>-1.0008899022266646</v>
      </c>
      <c r="K24" s="15" t="e">
        <f t="shared" si="3"/>
        <v>#DIV/0!</v>
      </c>
      <c r="L24" s="15">
        <f t="shared" si="4"/>
        <v>-0.67299307010113951</v>
      </c>
    </row>
    <row r="25" spans="1:12" ht="15" customHeight="1" x14ac:dyDescent="0.45">
      <c r="A25" s="14" t="str">
        <f>'1_Raw_Data'!A26</f>
        <v>2005 Q3</v>
      </c>
      <c r="B25" s="15">
        <f>IFERROR(IF('1_Raw_Data'!C26&lt;&gt;"",LN('1_Raw_Data'!C26/'1_Raw_Data'!C25),""),"")</f>
        <v>0.17116786984682705</v>
      </c>
      <c r="C25" s="15">
        <f t="shared" si="0"/>
        <v>6.7597694196256483E-2</v>
      </c>
      <c r="D25" s="16">
        <f t="shared" si="1"/>
        <v>0</v>
      </c>
      <c r="E25" s="9">
        <f>IF('1_Raw_Data'!D26&lt;&gt;"",100*('1_Raw_Data'!D26-'1_Raw_Data'!D22)/'1_Raw_Data'!D22,"")</f>
        <v>3.6929057337220783</v>
      </c>
      <c r="F25" s="9">
        <f>'1_Raw_Data'!E26</f>
        <v>23.48556</v>
      </c>
      <c r="G25" s="9">
        <f>IF('1_Raw_Data'!F26&lt;&gt;"",100*('1_Raw_Data'!F26-'1_Raw_Data'!F22)/'1_Raw_Data'!F22,"")</f>
        <v>-23.356252685863794</v>
      </c>
      <c r="H25" s="9">
        <f>'1_Raw_Data'!G26</f>
        <v>7</v>
      </c>
      <c r="I25" s="9">
        <f>IF('1_Raw_Data'!H26&lt;&gt;"", '1_Raw_Data'!H26-'1_Raw_Data'!I26,"")</f>
        <v>0.94399999999999995</v>
      </c>
      <c r="J25" s="15">
        <f t="shared" si="2"/>
        <v>-0.75996418690672729</v>
      </c>
      <c r="K25" s="15" t="e">
        <f t="shared" si="3"/>
        <v>#DIV/0!</v>
      </c>
      <c r="L25" s="15">
        <f t="shared" si="4"/>
        <v>-0.53742738713653637</v>
      </c>
    </row>
    <row r="26" spans="1:12" ht="15" customHeight="1" x14ac:dyDescent="0.45">
      <c r="A26" s="14" t="str">
        <f>'1_Raw_Data'!A27</f>
        <v>2005 Q4</v>
      </c>
      <c r="B26" s="15">
        <f>IFERROR(IF('1_Raw_Data'!C27&lt;&gt;"",LN('1_Raw_Data'!C27/'1_Raw_Data'!C26),""),"")</f>
        <v>6.7597694196256483E-2</v>
      </c>
      <c r="C26" s="15">
        <f t="shared" si="0"/>
        <v>0.10810961469236784</v>
      </c>
      <c r="D26" s="16">
        <f t="shared" si="1"/>
        <v>0</v>
      </c>
      <c r="E26" s="9">
        <f>IF('1_Raw_Data'!D27&lt;&gt;"",100*('1_Raw_Data'!D27-'1_Raw_Data'!D23)/'1_Raw_Data'!D23,"")</f>
        <v>3.5783365570599637</v>
      </c>
      <c r="F26" s="9">
        <f>'1_Raw_Data'!E27</f>
        <v>23.48556</v>
      </c>
      <c r="G26" s="9">
        <f>IF('1_Raw_Data'!F27&lt;&gt;"",100*('1_Raw_Data'!F27-'1_Raw_Data'!F23)/'1_Raw_Data'!F23,"")</f>
        <v>106.73483851374046</v>
      </c>
      <c r="H26" s="9">
        <f>'1_Raw_Data'!G27</f>
        <v>7</v>
      </c>
      <c r="I26" s="9">
        <f>IF('1_Raw_Data'!H27&lt;&gt;"", '1_Raw_Data'!H27-'1_Raw_Data'!I27,"")</f>
        <v>0.67399999999999949</v>
      </c>
      <c r="J26" s="15">
        <f t="shared" si="2"/>
        <v>-0.80936725999605397</v>
      </c>
      <c r="K26" s="15" t="e">
        <f t="shared" si="3"/>
        <v>#DIV/0!</v>
      </c>
      <c r="L26" s="15">
        <f t="shared" si="4"/>
        <v>-0.68743859369572824</v>
      </c>
    </row>
    <row r="27" spans="1:12" ht="15" customHeight="1" x14ac:dyDescent="0.45">
      <c r="A27" s="14" t="str">
        <f>'1_Raw_Data'!A28</f>
        <v>2006 Q1</v>
      </c>
      <c r="B27" s="15">
        <f>IFERROR(IF('1_Raw_Data'!C28&lt;&gt;"",LN('1_Raw_Data'!C28/'1_Raw_Data'!C27),""),"")</f>
        <v>0.10810961469236784</v>
      </c>
      <c r="C27" s="15">
        <f t="shared" si="0"/>
        <v>6.4669281289652297E-2</v>
      </c>
      <c r="D27" s="16">
        <f t="shared" si="1"/>
        <v>0</v>
      </c>
      <c r="E27" s="9">
        <f>IF('1_Raw_Data'!D28&lt;&gt;"",100*('1_Raw_Data'!D28-'1_Raw_Data'!D24)/'1_Raw_Data'!D24,"")</f>
        <v>3.7428023032629678</v>
      </c>
      <c r="F27" s="9">
        <f>'1_Raw_Data'!E28</f>
        <v>23.134540000000001</v>
      </c>
      <c r="G27" s="9">
        <f>IF('1_Raw_Data'!F28&lt;&gt;"",100*('1_Raw_Data'!F28-'1_Raw_Data'!F24)/'1_Raw_Data'!F24,"")</f>
        <v>16.453016278744673</v>
      </c>
      <c r="H27" s="9">
        <f>'1_Raw_Data'!G28</f>
        <v>7</v>
      </c>
      <c r="I27" s="9">
        <f>IF('1_Raw_Data'!H28&lt;&gt;"", '1_Raw_Data'!H28-'1_Raw_Data'!I28,"")</f>
        <v>0.83499999999999996</v>
      </c>
      <c r="J27" s="15">
        <f t="shared" si="2"/>
        <v>-0.73844841849717413</v>
      </c>
      <c r="K27" s="15" t="e">
        <f t="shared" si="3"/>
        <v>#DIV/0!</v>
      </c>
      <c r="L27" s="15">
        <f t="shared" si="4"/>
        <v>-0.59798746682154336</v>
      </c>
    </row>
    <row r="28" spans="1:12" ht="15" customHeight="1" x14ac:dyDescent="0.45">
      <c r="A28" s="14" t="str">
        <f>'1_Raw_Data'!A29</f>
        <v>2006 Q2</v>
      </c>
      <c r="B28" s="15">
        <f>IFERROR(IF('1_Raw_Data'!C29&lt;&gt;"",LN('1_Raw_Data'!C29/'1_Raw_Data'!C28),""),"")</f>
        <v>6.4669281289652297E-2</v>
      </c>
      <c r="C28" s="15">
        <f t="shared" si="0"/>
        <v>4.7839394235615292E-2</v>
      </c>
      <c r="D28" s="16">
        <f t="shared" si="1"/>
        <v>0</v>
      </c>
      <c r="E28" s="9">
        <f>IF('1_Raw_Data'!D29&lt;&gt;"",100*('1_Raw_Data'!D29-'1_Raw_Data'!D25)/'1_Raw_Data'!D25,"")</f>
        <v>4.0835707502374072</v>
      </c>
      <c r="F28" s="9">
        <f>'1_Raw_Data'!E29</f>
        <v>23.134540000000001</v>
      </c>
      <c r="G28" s="9">
        <f>IF('1_Raw_Data'!F29&lt;&gt;"",100*('1_Raw_Data'!F29-'1_Raw_Data'!F25)/'1_Raw_Data'!F25,"")</f>
        <v>-502.70106451489175</v>
      </c>
      <c r="H28" s="9">
        <f>'1_Raw_Data'!G29</f>
        <v>7.5</v>
      </c>
      <c r="I28" s="9">
        <f>IF('1_Raw_Data'!H29&lt;&gt;"", '1_Raw_Data'!H29-'1_Raw_Data'!I29,"")</f>
        <v>1.4459999999999988</v>
      </c>
      <c r="J28" s="15">
        <f t="shared" si="2"/>
        <v>-0.59150655347824244</v>
      </c>
      <c r="K28" s="15" t="e">
        <f t="shared" si="3"/>
        <v>#DIV/0!</v>
      </c>
      <c r="L28" s="15">
        <f t="shared" si="4"/>
        <v>-0.2585176623487066</v>
      </c>
    </row>
    <row r="29" spans="1:12" ht="15" customHeight="1" x14ac:dyDescent="0.45">
      <c r="A29" s="14" t="str">
        <f>'1_Raw_Data'!A30</f>
        <v>2006 Q3</v>
      </c>
      <c r="B29" s="15">
        <f>IFERROR(IF('1_Raw_Data'!C30&lt;&gt;"",LN('1_Raw_Data'!C30/'1_Raw_Data'!C29),""),"")</f>
        <v>4.7839394235615292E-2</v>
      </c>
      <c r="C29" s="15">
        <f t="shared" si="0"/>
        <v>6.8987341867299642E-2</v>
      </c>
      <c r="D29" s="16">
        <f t="shared" si="1"/>
        <v>0</v>
      </c>
      <c r="E29" s="9">
        <f>IF('1_Raw_Data'!D30&lt;&gt;"",100*('1_Raw_Data'!D30-'1_Raw_Data'!D26)/'1_Raw_Data'!D26,"")</f>
        <v>5.2483598875351465</v>
      </c>
      <c r="F29" s="9">
        <f>'1_Raw_Data'!E30</f>
        <v>22.101949999999999</v>
      </c>
      <c r="G29" s="9">
        <f>IF('1_Raw_Data'!F30&lt;&gt;"",100*('1_Raw_Data'!F30-'1_Raw_Data'!F26)/'1_Raw_Data'!F26,"")</f>
        <v>90.50997782708788</v>
      </c>
      <c r="H29" s="9">
        <f>'1_Raw_Data'!G30</f>
        <v>8</v>
      </c>
      <c r="I29" s="9">
        <f>IF('1_Raw_Data'!H30&lt;&gt;"", '1_Raw_Data'!H30-'1_Raw_Data'!I30,"")</f>
        <v>0.14999999999999947</v>
      </c>
      <c r="J29" s="15">
        <f t="shared" si="2"/>
        <v>-8.9240895645313734E-2</v>
      </c>
      <c r="K29" s="15" t="e">
        <f t="shared" si="3"/>
        <v>#DIV/0!</v>
      </c>
      <c r="L29" s="15">
        <f t="shared" si="4"/>
        <v>-0.97857145383282607</v>
      </c>
    </row>
    <row r="30" spans="1:12" ht="15" customHeight="1" x14ac:dyDescent="0.45">
      <c r="A30" s="14" t="str">
        <f>'1_Raw_Data'!A31</f>
        <v>2006 Q4</v>
      </c>
      <c r="B30" s="15">
        <f>IFERROR(IF('1_Raw_Data'!C31&lt;&gt;"",LN('1_Raw_Data'!C31/'1_Raw_Data'!C30),""),"")</f>
        <v>6.8987341867299642E-2</v>
      </c>
      <c r="C30" s="15">
        <f t="shared" si="0"/>
        <v>0.11314358804339314</v>
      </c>
      <c r="D30" s="16">
        <f t="shared" si="1"/>
        <v>0</v>
      </c>
      <c r="E30" s="9">
        <f>IF('1_Raw_Data'!D31&lt;&gt;"",100*('1_Raw_Data'!D31-'1_Raw_Data'!D27)/'1_Raw_Data'!D27,"")</f>
        <v>5.5088702147525526</v>
      </c>
      <c r="F30" s="9">
        <f>'1_Raw_Data'!E31</f>
        <v>22.101949999999999</v>
      </c>
      <c r="G30" s="9">
        <f>IF('1_Raw_Data'!F31&lt;&gt;"",100*('1_Raw_Data'!F31-'1_Raw_Data'!F27)/'1_Raw_Data'!F27,"")</f>
        <v>-203.1492406860894</v>
      </c>
      <c r="H30" s="9">
        <f>'1_Raw_Data'!G31</f>
        <v>9</v>
      </c>
      <c r="I30" s="9">
        <f>IF('1_Raw_Data'!H31&lt;&gt;"", '1_Raw_Data'!H31-'1_Raw_Data'!I31,"")</f>
        <v>-0.42999999999999972</v>
      </c>
      <c r="J30" s="15">
        <f t="shared" si="2"/>
        <v>2.3093076815725571E-2</v>
      </c>
      <c r="K30" s="15" t="e">
        <f t="shared" si="3"/>
        <v>#DIV/0!</v>
      </c>
      <c r="L30" s="15">
        <f t="shared" si="4"/>
        <v>-1.3008177494044224</v>
      </c>
    </row>
    <row r="31" spans="1:12" ht="15" customHeight="1" x14ac:dyDescent="0.45">
      <c r="A31" s="14" t="str">
        <f>'1_Raw_Data'!A32</f>
        <v>2007 Q1</v>
      </c>
      <c r="B31" s="15">
        <f>IFERROR(IF('1_Raw_Data'!C32&lt;&gt;"",LN('1_Raw_Data'!C32/'1_Raw_Data'!C31),""),"")</f>
        <v>0.11314358804339314</v>
      </c>
      <c r="C31" s="15">
        <f t="shared" si="0"/>
        <v>3.8859418937008436E-2</v>
      </c>
      <c r="D31" s="16">
        <f t="shared" si="1"/>
        <v>0</v>
      </c>
      <c r="E31" s="9">
        <f>IF('1_Raw_Data'!D32&lt;&gt;"",100*('1_Raw_Data'!D32-'1_Raw_Data'!D28)/'1_Raw_Data'!D28,"")</f>
        <v>6.0129509713228222</v>
      </c>
      <c r="F31" s="9">
        <f>'1_Raw_Data'!E32</f>
        <v>23.6127</v>
      </c>
      <c r="G31" s="9">
        <f>IF('1_Raw_Data'!F32&lt;&gt;"",100*('1_Raw_Data'!F32-'1_Raw_Data'!F28)/'1_Raw_Data'!F28,"")</f>
        <v>-52.125303398064823</v>
      </c>
      <c r="H31" s="9">
        <f>'1_Raw_Data'!G32</f>
        <v>9</v>
      </c>
      <c r="I31" s="9">
        <f>IF('1_Raw_Data'!H32&lt;&gt;"", '1_Raw_Data'!H32-'1_Raw_Data'!I32,"")</f>
        <v>-0.70499999999999918</v>
      </c>
      <c r="J31" s="15">
        <f t="shared" si="2"/>
        <v>0.24045641297033574</v>
      </c>
      <c r="K31" s="15" t="e">
        <f t="shared" si="3"/>
        <v>#DIV/0!</v>
      </c>
      <c r="L31" s="15">
        <f t="shared" si="4"/>
        <v>-1.4536069412702655</v>
      </c>
    </row>
    <row r="32" spans="1:12" ht="15" customHeight="1" x14ac:dyDescent="0.45">
      <c r="A32" s="14" t="str">
        <f>'1_Raw_Data'!A33</f>
        <v>2007 Q2</v>
      </c>
      <c r="B32" s="15">
        <f>IFERROR(IF('1_Raw_Data'!C33&lt;&gt;"",LN('1_Raw_Data'!C33/'1_Raw_Data'!C32),""),"")</f>
        <v>3.8859418937008436E-2</v>
      </c>
      <c r="C32" s="15">
        <f t="shared" si="0"/>
        <v>9.7015028981166762E-2</v>
      </c>
      <c r="D32" s="16">
        <f t="shared" si="1"/>
        <v>0</v>
      </c>
      <c r="E32" s="9">
        <f>IF('1_Raw_Data'!D33&lt;&gt;"",100*('1_Raw_Data'!D33-'1_Raw_Data'!D29)/'1_Raw_Data'!D29,"")</f>
        <v>7.0255474452554827</v>
      </c>
      <c r="F32" s="9">
        <f>'1_Raw_Data'!E33</f>
        <v>23.6127</v>
      </c>
      <c r="G32" s="9">
        <f>IF('1_Raw_Data'!F33&lt;&gt;"",100*('1_Raw_Data'!F33-'1_Raw_Data'!F29)/'1_Raw_Data'!F29,"")</f>
        <v>-100</v>
      </c>
      <c r="H32" s="9">
        <f>'1_Raw_Data'!G33</f>
        <v>9.5</v>
      </c>
      <c r="I32" s="9">
        <f>IF('1_Raw_Data'!H33&lt;&gt;"", '1_Raw_Data'!H33-'1_Raw_Data'!I33,"")</f>
        <v>-0.10999999999999943</v>
      </c>
      <c r="J32" s="15">
        <f t="shared" si="2"/>
        <v>0.67709547304862971</v>
      </c>
      <c r="K32" s="15" t="e">
        <f t="shared" si="3"/>
        <v>#DIV/0!</v>
      </c>
      <c r="L32" s="15">
        <f t="shared" si="4"/>
        <v>-1.1230266897787136</v>
      </c>
    </row>
    <row r="33" spans="1:12" ht="15" customHeight="1" x14ac:dyDescent="0.45">
      <c r="A33" s="14" t="str">
        <f>'1_Raw_Data'!A34</f>
        <v>2007 Q3</v>
      </c>
      <c r="B33" s="15">
        <f>IFERROR(IF('1_Raw_Data'!C34&lt;&gt;"",LN('1_Raw_Data'!C34/'1_Raw_Data'!C33),""),"")</f>
        <v>9.7015028981166762E-2</v>
      </c>
      <c r="C33" s="15">
        <f t="shared" si="0"/>
        <v>-6.820530979513556E-2</v>
      </c>
      <c r="D33" s="16">
        <f t="shared" si="1"/>
        <v>1</v>
      </c>
      <c r="E33" s="9">
        <f>IF('1_Raw_Data'!D34&lt;&gt;"",100*('1_Raw_Data'!D34-'1_Raw_Data'!D30)/'1_Raw_Data'!D30,"")</f>
        <v>6.945681211041836</v>
      </c>
      <c r="F33" s="9">
        <f>'1_Raw_Data'!E34</f>
        <v>21.030639999999998</v>
      </c>
      <c r="G33" s="9">
        <f>IF('1_Raw_Data'!F34&lt;&gt;"",100*('1_Raw_Data'!F34-'1_Raw_Data'!F30)/'1_Raw_Data'!F30,"")</f>
        <v>-101.17408474757032</v>
      </c>
      <c r="H33" s="9">
        <f>'1_Raw_Data'!G34</f>
        <v>10</v>
      </c>
      <c r="I33" s="9">
        <f>IF('1_Raw_Data'!H34&lt;&gt;"", '1_Raw_Data'!H34-'1_Raw_Data'!I34,"")</f>
        <v>-0.96499999999999986</v>
      </c>
      <c r="J33" s="15">
        <f t="shared" si="2"/>
        <v>0.64265656442434516</v>
      </c>
      <c r="K33" s="15" t="e">
        <f t="shared" si="3"/>
        <v>#DIV/0!</v>
      </c>
      <c r="L33" s="15">
        <f t="shared" si="4"/>
        <v>-1.5980621772161541</v>
      </c>
    </row>
    <row r="34" spans="1:12" ht="15" customHeight="1" x14ac:dyDescent="0.45">
      <c r="A34" s="14" t="str">
        <f>'1_Raw_Data'!A35</f>
        <v>2007 Q4</v>
      </c>
      <c r="B34" s="15">
        <f>IFERROR(IF('1_Raw_Data'!C35&lt;&gt;"",LN('1_Raw_Data'!C35/'1_Raw_Data'!C34),""),"")</f>
        <v>-6.820530979513556E-2</v>
      </c>
      <c r="C34" s="15">
        <f t="shared" si="0"/>
        <v>6.9467248398669884E-2</v>
      </c>
      <c r="D34" s="16">
        <f t="shared" si="1"/>
        <v>0</v>
      </c>
      <c r="E34" s="9">
        <f>IF('1_Raw_Data'!D35&lt;&gt;"",100*('1_Raw_Data'!D35-'1_Raw_Data'!D31)/'1_Raw_Data'!D31,"")</f>
        <v>8.5840707964601801</v>
      </c>
      <c r="F34" s="9">
        <f>'1_Raw_Data'!E35</f>
        <v>21.030639999999998</v>
      </c>
      <c r="G34" s="9">
        <f>IF('1_Raw_Data'!F35&lt;&gt;"",100*('1_Raw_Data'!F35-'1_Raw_Data'!F31)/'1_Raw_Data'!F31,"")</f>
        <v>-2.2741832158119921</v>
      </c>
      <c r="H34" s="9">
        <f>'1_Raw_Data'!G35</f>
        <v>11</v>
      </c>
      <c r="I34" s="9">
        <f>IF('1_Raw_Data'!H35&lt;&gt;"", '1_Raw_Data'!H35-'1_Raw_Data'!I35,"")</f>
        <v>-1.5650000000000013</v>
      </c>
      <c r="J34" s="15">
        <f t="shared" si="2"/>
        <v>1.3491422248382743</v>
      </c>
      <c r="K34" s="15" t="e">
        <f t="shared" si="3"/>
        <v>#DIV/0!</v>
      </c>
      <c r="L34" s="15">
        <f t="shared" si="4"/>
        <v>-1.9314204140143585</v>
      </c>
    </row>
    <row r="35" spans="1:12" ht="15" customHeight="1" x14ac:dyDescent="0.45">
      <c r="A35" s="14" t="str">
        <f>'1_Raw_Data'!A36</f>
        <v>2008 Q1</v>
      </c>
      <c r="B35" s="15">
        <f>IFERROR(IF('1_Raw_Data'!C36&lt;&gt;"",LN('1_Raw_Data'!C36/'1_Raw_Data'!C35),""),"")</f>
        <v>6.9467248398669884E-2</v>
      </c>
      <c r="C35" s="15">
        <f t="shared" si="0"/>
        <v>-6.1617262582333424E-2</v>
      </c>
      <c r="D35" s="16">
        <f t="shared" si="1"/>
        <v>1</v>
      </c>
      <c r="E35" s="9">
        <f>IF('1_Raw_Data'!D36&lt;&gt;"",100*('1_Raw_Data'!D36-'1_Raw_Data'!D32)/'1_Raw_Data'!D32,"")</f>
        <v>9.860383944153595</v>
      </c>
      <c r="F35" s="9">
        <f>'1_Raw_Data'!E36</f>
        <v>22.883510000000001</v>
      </c>
      <c r="G35" s="9">
        <f>IF('1_Raw_Data'!F36&lt;&gt;"",100*('1_Raw_Data'!F36-'1_Raw_Data'!F32)/'1_Raw_Data'!F32,"")</f>
        <v>-52.604181645666813</v>
      </c>
      <c r="H35" s="9">
        <f>'1_Raw_Data'!G36</f>
        <v>11</v>
      </c>
      <c r="I35" s="9">
        <f>IF('1_Raw_Data'!H36&lt;&gt;"", '1_Raw_Data'!H36-'1_Raw_Data'!I36,"")</f>
        <v>-1.3900000000000006</v>
      </c>
      <c r="J35" s="15">
        <f t="shared" si="2"/>
        <v>1.899497857630535</v>
      </c>
      <c r="K35" s="15" t="e">
        <f t="shared" si="3"/>
        <v>#DIV/0!</v>
      </c>
      <c r="L35" s="15">
        <f t="shared" si="4"/>
        <v>-1.8341909282815487</v>
      </c>
    </row>
    <row r="36" spans="1:12" ht="15" customHeight="1" x14ac:dyDescent="0.45">
      <c r="A36" s="14" t="str">
        <f>'1_Raw_Data'!A37</f>
        <v>2008 Q2</v>
      </c>
      <c r="B36" s="15">
        <f>IFERROR(IF('1_Raw_Data'!C37&lt;&gt;"",LN('1_Raw_Data'!C37/'1_Raw_Data'!C36),""),"")</f>
        <v>-6.1617262582333424E-2</v>
      </c>
      <c r="C36" s="15">
        <f t="shared" ref="C36:C67" si="5">IF(B37&lt;&gt;"",B37,"")</f>
        <v>-0.25628972103653408</v>
      </c>
      <c r="D36" s="16">
        <f t="shared" ref="D36:D67" si="6">IF(C36&lt;&gt;"",IF(C36&lt;0,1,0),"")</f>
        <v>1</v>
      </c>
      <c r="E36" s="9">
        <f>IF('1_Raw_Data'!D37&lt;&gt;"",100*('1_Raw_Data'!D37-'1_Raw_Data'!D33)/'1_Raw_Data'!D33,"")</f>
        <v>11.84995737425403</v>
      </c>
      <c r="F36" s="9">
        <f>'1_Raw_Data'!E37</f>
        <v>22.561419999999998</v>
      </c>
      <c r="G36" s="9" t="e">
        <f>IF('1_Raw_Data'!F37&lt;&gt;"",100*('1_Raw_Data'!F37-'1_Raw_Data'!F33)/'1_Raw_Data'!F33,"")</f>
        <v>#DIV/0!</v>
      </c>
      <c r="H36" s="9">
        <f>'1_Raw_Data'!G37</f>
        <v>12</v>
      </c>
      <c r="I36" s="9">
        <f>IF('1_Raw_Data'!H37&lt;&gt;"", '1_Raw_Data'!H37-'1_Raw_Data'!I37,"")</f>
        <v>-0.26500000000000057</v>
      </c>
      <c r="J36" s="15">
        <f t="shared" ref="J36:J67" si="7">IF(E36&lt;&gt;"", (E36-AVERAGE($E$4:$E$104))/STDEV($E$4:$E$104),"")</f>
        <v>2.7574165792925789</v>
      </c>
      <c r="K36" s="15" t="e">
        <f t="shared" ref="K36:K67" si="8">IF(G36&lt;&gt;"", (G36-AVERAGE($G$4:$G$104))/STDEV($G$4:$G$104),"")</f>
        <v>#DIV/0!</v>
      </c>
      <c r="L36" s="15">
        <f t="shared" ref="L36:L67" si="9">IF(I36&lt;&gt;"", (I36-AVERAGE($I$4:$I$104))/STDEV($I$4:$I$104),"")</f>
        <v>-1.2091442342849168</v>
      </c>
    </row>
    <row r="37" spans="1:12" ht="15" customHeight="1" x14ac:dyDescent="0.45">
      <c r="A37" s="14" t="str">
        <f>'1_Raw_Data'!A38</f>
        <v>2008 Q3</v>
      </c>
      <c r="B37" s="15">
        <f>IFERROR(IF('1_Raw_Data'!C38&lt;&gt;"",LN('1_Raw_Data'!C38/'1_Raw_Data'!C37),""),"")</f>
        <v>-0.25628972103653408</v>
      </c>
      <c r="C37" s="15">
        <f t="shared" si="5"/>
        <v>-4.1774317647279853E-2</v>
      </c>
      <c r="D37" s="16">
        <f t="shared" si="6"/>
        <v>1</v>
      </c>
      <c r="E37" s="9">
        <f>IF('1_Raw_Data'!D38&lt;&gt;"",100*('1_Raw_Data'!D38-'1_Raw_Data'!D34)/'1_Raw_Data'!D34,"")</f>
        <v>13.405495420482934</v>
      </c>
      <c r="F37" s="9">
        <f>'1_Raw_Data'!E38</f>
        <v>22.861689999999999</v>
      </c>
      <c r="G37" s="9">
        <f>IF('1_Raw_Data'!F38&lt;&gt;"",100*('1_Raw_Data'!F38-'1_Raw_Data'!F34)/'1_Raw_Data'!F34,"")</f>
        <v>7971.7538461632921</v>
      </c>
      <c r="H37" s="9">
        <f>'1_Raw_Data'!G38</f>
        <v>12</v>
      </c>
      <c r="I37" s="9">
        <f>IF('1_Raw_Data'!H38&lt;&gt;"", '1_Raw_Data'!H38-'1_Raw_Data'!I38,"")</f>
        <v>-2.3499999999999996</v>
      </c>
      <c r="J37" s="15">
        <f t="shared" si="7"/>
        <v>3.4281760455817958</v>
      </c>
      <c r="K37" s="15" t="e">
        <f t="shared" si="8"/>
        <v>#DIV/0!</v>
      </c>
      <c r="L37" s="15">
        <f t="shared" si="9"/>
        <v>-2.3675641071586742</v>
      </c>
    </row>
    <row r="38" spans="1:12" ht="15" customHeight="1" x14ac:dyDescent="0.45">
      <c r="A38" s="14" t="str">
        <f>'1_Raw_Data'!A39</f>
        <v>2008 Q4</v>
      </c>
      <c r="B38" s="15">
        <f>IFERROR(IF('1_Raw_Data'!C39&lt;&gt;"",LN('1_Raw_Data'!C39/'1_Raw_Data'!C38),""),"")</f>
        <v>-4.1774317647279853E-2</v>
      </c>
      <c r="C38" s="15">
        <f t="shared" si="5"/>
        <v>-2.2683259462003086E-2</v>
      </c>
      <c r="D38" s="16">
        <f t="shared" si="6"/>
        <v>1</v>
      </c>
      <c r="E38" s="9">
        <f>IF('1_Raw_Data'!D39&lt;&gt;"",100*('1_Raw_Data'!D39-'1_Raw_Data'!D35)/'1_Raw_Data'!D35,"")</f>
        <v>11.083944580277111</v>
      </c>
      <c r="F38" s="9">
        <f>'1_Raw_Data'!E39</f>
        <v>21.892610000000001</v>
      </c>
      <c r="G38" s="9">
        <f>IF('1_Raw_Data'!F39&lt;&gt;"",100*('1_Raw_Data'!F39-'1_Raw_Data'!F35)/'1_Raw_Data'!F35,"")</f>
        <v>-772.57236341214934</v>
      </c>
      <c r="H38" s="9">
        <f>'1_Raw_Data'!G39</f>
        <v>11.5</v>
      </c>
      <c r="I38" s="9">
        <f>IF('1_Raw_Data'!H39&lt;&gt;"", '1_Raw_Data'!H39-'1_Raw_Data'!I39,"")</f>
        <v>-3.5249999999999995</v>
      </c>
      <c r="J38" s="15">
        <f t="shared" si="7"/>
        <v>2.4271062187685772</v>
      </c>
      <c r="K38" s="15" t="e">
        <f t="shared" si="8"/>
        <v>#DIV/0!</v>
      </c>
      <c r="L38" s="15">
        <f t="shared" si="9"/>
        <v>-3.0203906542218228</v>
      </c>
    </row>
    <row r="39" spans="1:12" ht="15" customHeight="1" x14ac:dyDescent="0.45">
      <c r="A39" s="14" t="str">
        <f>'1_Raw_Data'!A40</f>
        <v>2009 Q1</v>
      </c>
      <c r="B39" s="15">
        <f>IFERROR(IF('1_Raw_Data'!C40&lt;&gt;"",LN('1_Raw_Data'!C40/'1_Raw_Data'!C39),""),"")</f>
        <v>-2.2683259462003086E-2</v>
      </c>
      <c r="C39" s="15">
        <f t="shared" si="5"/>
        <v>3.7888195963280989E-2</v>
      </c>
      <c r="D39" s="16">
        <f t="shared" si="6"/>
        <v>0</v>
      </c>
      <c r="E39" s="9">
        <f>IF('1_Raw_Data'!D40&lt;&gt;"",100*('1_Raw_Data'!D40-'1_Raw_Data'!D36)/'1_Raw_Data'!D36,"")</f>
        <v>9.054805401112004</v>
      </c>
      <c r="F39" s="9">
        <f>'1_Raw_Data'!E40</f>
        <v>22.71415</v>
      </c>
      <c r="G39" s="9">
        <f>IF('1_Raw_Data'!F40&lt;&gt;"",100*('1_Raw_Data'!F40-'1_Raw_Data'!F36)/'1_Raw_Data'!F36,"")</f>
        <v>-1660.0625000015671</v>
      </c>
      <c r="H39" s="9">
        <f>'1_Raw_Data'!G40</f>
        <v>9.5</v>
      </c>
      <c r="I39" s="9">
        <f>IF('1_Raw_Data'!H40&lt;&gt;"", '1_Raw_Data'!H40-'1_Raw_Data'!I40,"")</f>
        <v>-1.0050000000000008</v>
      </c>
      <c r="J39" s="15">
        <f t="shared" si="7"/>
        <v>1.5521264546008287</v>
      </c>
      <c r="K39" s="15" t="e">
        <f t="shared" si="8"/>
        <v>#DIV/0!</v>
      </c>
      <c r="L39" s="15">
        <f t="shared" si="9"/>
        <v>-1.6202860596693682</v>
      </c>
    </row>
    <row r="40" spans="1:12" ht="15" customHeight="1" x14ac:dyDescent="0.45">
      <c r="A40" s="14" t="str">
        <f>'1_Raw_Data'!A41</f>
        <v>2009 Q2</v>
      </c>
      <c r="B40" s="15">
        <f>IFERROR(IF('1_Raw_Data'!C41&lt;&gt;"",LN('1_Raw_Data'!C41/'1_Raw_Data'!C40),""),"")</f>
        <v>3.7888195963280989E-2</v>
      </c>
      <c r="C40" s="15">
        <f t="shared" si="5"/>
        <v>9.2532407958742915E-2</v>
      </c>
      <c r="D40" s="16">
        <f t="shared" si="6"/>
        <v>0</v>
      </c>
      <c r="E40" s="9">
        <f>IF('1_Raw_Data'!D41&lt;&gt;"",100*('1_Raw_Data'!D41-'1_Raw_Data'!D37)/'1_Raw_Data'!D37,"")</f>
        <v>7.0121951219512439</v>
      </c>
      <c r="F40" s="9">
        <f>'1_Raw_Data'!E41</f>
        <v>23.131879999999999</v>
      </c>
      <c r="G40" s="9">
        <f>IF('1_Raw_Data'!F41&lt;&gt;"",100*('1_Raw_Data'!F41-'1_Raw_Data'!F37)/'1_Raw_Data'!F37,"")</f>
        <v>-166.80428550182137</v>
      </c>
      <c r="H40" s="9">
        <f>'1_Raw_Data'!G41</f>
        <v>7.5</v>
      </c>
      <c r="I40" s="9">
        <f>IF('1_Raw_Data'!H41&lt;&gt;"", '1_Raw_Data'!H41-'1_Raw_Data'!I41,"")</f>
        <v>1.62</v>
      </c>
      <c r="J40" s="15">
        <f t="shared" si="7"/>
        <v>0.67133785286377801</v>
      </c>
      <c r="K40" s="15" t="e">
        <f t="shared" si="8"/>
        <v>#DIV/0!</v>
      </c>
      <c r="L40" s="15">
        <f t="shared" si="9"/>
        <v>-0.16184377367722685</v>
      </c>
    </row>
    <row r="41" spans="1:12" ht="15" customHeight="1" x14ac:dyDescent="0.45">
      <c r="A41" s="14" t="str">
        <f>'1_Raw_Data'!A42</f>
        <v>2009 Q3</v>
      </c>
      <c r="B41" s="15">
        <f>IFERROR(IF('1_Raw_Data'!C42&lt;&gt;"",LN('1_Raw_Data'!C42/'1_Raw_Data'!C41),""),"")</f>
        <v>9.2532407958742915E-2</v>
      </c>
      <c r="C41" s="15">
        <f t="shared" si="5"/>
        <v>0.13121419822472322</v>
      </c>
      <c r="D41" s="16">
        <f t="shared" si="6"/>
        <v>0</v>
      </c>
      <c r="E41" s="9">
        <f>IF('1_Raw_Data'!D42&lt;&gt;"",100*('1_Raw_Data'!D42-'1_Raw_Data'!D38)/'1_Raw_Data'!D38,"")</f>
        <v>4.9192364170337601</v>
      </c>
      <c r="F41" s="9">
        <f>'1_Raw_Data'!E42</f>
        <v>24.423500000000001</v>
      </c>
      <c r="G41" s="9">
        <f>IF('1_Raw_Data'!F42&lt;&gt;"",100*('1_Raw_Data'!F42-'1_Raw_Data'!F38)/'1_Raw_Data'!F38,"")</f>
        <v>-200.03621220350277</v>
      </c>
      <c r="H41" s="9">
        <f>'1_Raw_Data'!G42</f>
        <v>7</v>
      </c>
      <c r="I41" s="9">
        <f>IF('1_Raw_Data'!H42&lt;&gt;"", '1_Raw_Data'!H42-'1_Raw_Data'!I42,"")</f>
        <v>1.625</v>
      </c>
      <c r="J41" s="15">
        <f t="shared" si="7"/>
        <v>-0.23116136101223966</v>
      </c>
      <c r="K41" s="15" t="e">
        <f t="shared" si="8"/>
        <v>#DIV/0!</v>
      </c>
      <c r="L41" s="15">
        <f t="shared" si="9"/>
        <v>-0.1590657883705752</v>
      </c>
    </row>
    <row r="42" spans="1:12" ht="15" customHeight="1" x14ac:dyDescent="0.45">
      <c r="A42" s="14" t="str">
        <f>'1_Raw_Data'!A43</f>
        <v>2009 Q4</v>
      </c>
      <c r="B42" s="15">
        <f>IFERROR(IF('1_Raw_Data'!C43&lt;&gt;"",LN('1_Raw_Data'!C43/'1_Raw_Data'!C42),""),"")</f>
        <v>0.13121419822472322</v>
      </c>
      <c r="C42" s="15">
        <f t="shared" si="5"/>
        <v>4.3690145558766075E-2</v>
      </c>
      <c r="D42" s="16">
        <f t="shared" si="6"/>
        <v>0</v>
      </c>
      <c r="E42" s="9">
        <f>IF('1_Raw_Data'!D43&lt;&gt;"",100*('1_Raw_Data'!D43-'1_Raw_Data'!D39)/'1_Raw_Data'!D39,"")</f>
        <v>5.3558327219368964</v>
      </c>
      <c r="F42" s="9">
        <f>'1_Raw_Data'!E43</f>
        <v>24.469329999999999</v>
      </c>
      <c r="G42" s="9">
        <f>IF('1_Raw_Data'!F43&lt;&gt;"",100*('1_Raw_Data'!F43-'1_Raw_Data'!F39)/'1_Raw_Data'!F39,"")</f>
        <v>-127.79251687409908</v>
      </c>
      <c r="H42" s="9">
        <f>'1_Raw_Data'!G43</f>
        <v>7</v>
      </c>
      <c r="I42" s="9">
        <f>IF('1_Raw_Data'!H43&lt;&gt;"", '1_Raw_Data'!H43-'1_Raw_Data'!I43,"")</f>
        <v>2.0350000000000001</v>
      </c>
      <c r="J42" s="15">
        <f t="shared" si="7"/>
        <v>-4.2897817622457667E-2</v>
      </c>
      <c r="K42" s="15" t="e">
        <f t="shared" si="8"/>
        <v>#DIV/0!</v>
      </c>
      <c r="L42" s="15">
        <f t="shared" si="9"/>
        <v>6.8729006774864029E-2</v>
      </c>
    </row>
    <row r="43" spans="1:12" ht="15" customHeight="1" x14ac:dyDescent="0.45">
      <c r="A43" s="14" t="str">
        <f>'1_Raw_Data'!A44</f>
        <v>2010 Q1</v>
      </c>
      <c r="B43" s="15">
        <f>IFERROR(IF('1_Raw_Data'!C44&lt;&gt;"",LN('1_Raw_Data'!C44/'1_Raw_Data'!C43),""),"")</f>
        <v>4.3690145558766075E-2</v>
      </c>
      <c r="C43" s="15">
        <f t="shared" si="5"/>
        <v>-0.1116268183696313</v>
      </c>
      <c r="D43" s="16">
        <f t="shared" si="6"/>
        <v>1</v>
      </c>
      <c r="E43" s="9">
        <f>IF('1_Raw_Data'!D44&lt;&gt;"",100*('1_Raw_Data'!D44-'1_Raw_Data'!D40)/'1_Raw_Data'!D40,"")</f>
        <v>5.8266569555717345</v>
      </c>
      <c r="F43" s="9">
        <f>'1_Raw_Data'!E44</f>
        <v>24.794930000000001</v>
      </c>
      <c r="G43" s="9">
        <f>IF('1_Raw_Data'!F44&lt;&gt;"",100*('1_Raw_Data'!F44-'1_Raw_Data'!F40)/'1_Raw_Data'!F40,"")</f>
        <v>-102.29332768173067</v>
      </c>
      <c r="H43" s="9">
        <f>'1_Raw_Data'!G44</f>
        <v>6.5</v>
      </c>
      <c r="I43" s="9">
        <f>IF('1_Raw_Data'!H44&lt;&gt;"", '1_Raw_Data'!H44-'1_Raw_Data'!I44,"")</f>
        <v>1.3899999999999997</v>
      </c>
      <c r="J43" s="15">
        <f t="shared" si="7"/>
        <v>0.16012506081793301</v>
      </c>
      <c r="K43" s="15" t="e">
        <f t="shared" si="8"/>
        <v>#DIV/0!</v>
      </c>
      <c r="L43" s="15">
        <f t="shared" si="9"/>
        <v>-0.28963109778320512</v>
      </c>
    </row>
    <row r="44" spans="1:12" ht="15" customHeight="1" x14ac:dyDescent="0.45">
      <c r="A44" s="14" t="str">
        <f>'1_Raw_Data'!A45</f>
        <v>2010 Q2</v>
      </c>
      <c r="B44" s="15">
        <f>IFERROR(IF('1_Raw_Data'!C45&lt;&gt;"",LN('1_Raw_Data'!C45/'1_Raw_Data'!C44),""),"")</f>
        <v>-0.1116268183696313</v>
      </c>
      <c r="C44" s="15">
        <f t="shared" si="5"/>
        <v>0.10658797026887371</v>
      </c>
      <c r="D44" s="16">
        <f t="shared" si="6"/>
        <v>0</v>
      </c>
      <c r="E44" s="9">
        <f>IF('1_Raw_Data'!D45&lt;&gt;"",100*('1_Raw_Data'!D45-'1_Raw_Data'!D41)/'1_Raw_Data'!D41,"")</f>
        <v>4.4159544159544071</v>
      </c>
      <c r="F44" s="9">
        <f>'1_Raw_Data'!E45</f>
        <v>24.934360000000002</v>
      </c>
      <c r="G44" s="9">
        <f>IF('1_Raw_Data'!F45&lt;&gt;"",100*('1_Raw_Data'!F45-'1_Raw_Data'!F41)/'1_Raw_Data'!F41,"")</f>
        <v>-283.70985662135161</v>
      </c>
      <c r="H44" s="9">
        <f>'1_Raw_Data'!G45</f>
        <v>6.5</v>
      </c>
      <c r="I44" s="9">
        <f>IF('1_Raw_Data'!H45&lt;&gt;"", '1_Raw_Data'!H45-'1_Raw_Data'!I45,"")</f>
        <v>2.1050000000000004</v>
      </c>
      <c r="J44" s="15">
        <f t="shared" si="7"/>
        <v>-0.44818026791416671</v>
      </c>
      <c r="K44" s="15" t="e">
        <f t="shared" si="8"/>
        <v>#DIV/0!</v>
      </c>
      <c r="L44" s="15">
        <f t="shared" si="9"/>
        <v>0.10762080106798794</v>
      </c>
    </row>
    <row r="45" spans="1:12" ht="15" customHeight="1" x14ac:dyDescent="0.45">
      <c r="A45" s="14" t="str">
        <f>'1_Raw_Data'!A46</f>
        <v>2010 Q3</v>
      </c>
      <c r="B45" s="15">
        <f>IFERROR(IF('1_Raw_Data'!C46&lt;&gt;"",LN('1_Raw_Data'!C46/'1_Raw_Data'!C45),""),"")</f>
        <v>0.10658797026887371</v>
      </c>
      <c r="C45" s="15">
        <f t="shared" si="5"/>
        <v>9.7377477171430291E-2</v>
      </c>
      <c r="D45" s="16">
        <f t="shared" si="6"/>
        <v>0</v>
      </c>
      <c r="E45" s="9">
        <f>IF('1_Raw_Data'!D46&lt;&gt;"",100*('1_Raw_Data'!D46-'1_Raw_Data'!D42)/'1_Raw_Data'!D42,"")</f>
        <v>3.5689293212036604</v>
      </c>
      <c r="F45" s="9">
        <f>'1_Raw_Data'!E46</f>
        <v>25.3855</v>
      </c>
      <c r="G45" s="9">
        <f>IF('1_Raw_Data'!F46&lt;&gt;"",100*('1_Raw_Data'!F46-'1_Raw_Data'!F42)/'1_Raw_Data'!F42,"")</f>
        <v>-132.63837180441843</v>
      </c>
      <c r="H45" s="9">
        <f>'1_Raw_Data'!G46</f>
        <v>6</v>
      </c>
      <c r="I45" s="9">
        <f>IF('1_Raw_Data'!H46&lt;&gt;"", '1_Raw_Data'!H46-'1_Raw_Data'!I46,"")</f>
        <v>1.665</v>
      </c>
      <c r="J45" s="15">
        <f t="shared" si="7"/>
        <v>-0.81342372940709029</v>
      </c>
      <c r="K45" s="15" t="e">
        <f t="shared" si="8"/>
        <v>#DIV/0!</v>
      </c>
      <c r="L45" s="15">
        <f t="shared" si="9"/>
        <v>-0.13684190591736162</v>
      </c>
    </row>
    <row r="46" spans="1:12" ht="15" customHeight="1" x14ac:dyDescent="0.45">
      <c r="A46" s="14" t="str">
        <f>'1_Raw_Data'!A47</f>
        <v>2010 Q4</v>
      </c>
      <c r="B46" s="15">
        <f>IFERROR(IF('1_Raw_Data'!C47&lt;&gt;"",LN('1_Raw_Data'!C47/'1_Raw_Data'!C46),""),"")</f>
        <v>9.7377477171430291E-2</v>
      </c>
      <c r="C46" s="15">
        <f t="shared" si="5"/>
        <v>1.8547980351934005E-2</v>
      </c>
      <c r="D46" s="16">
        <f t="shared" si="6"/>
        <v>0</v>
      </c>
      <c r="E46" s="9">
        <f>IF('1_Raw_Data'!D47&lt;&gt;"",100*('1_Raw_Data'!D47-'1_Raw_Data'!D43)/'1_Raw_Data'!D43,"")</f>
        <v>3.4122562674094699</v>
      </c>
      <c r="F46" s="9">
        <f>'1_Raw_Data'!E47</f>
        <v>24.368200000000002</v>
      </c>
      <c r="G46" s="9">
        <f>IF('1_Raw_Data'!F47&lt;&gt;"",100*('1_Raw_Data'!F47-'1_Raw_Data'!F43)/'1_Raw_Data'!F43,"")</f>
        <v>-92.40684453450325</v>
      </c>
      <c r="H46" s="9">
        <f>'1_Raw_Data'!G47</f>
        <v>5.5</v>
      </c>
      <c r="I46" s="9">
        <f>IF('1_Raw_Data'!H47&lt;&gt;"", '1_Raw_Data'!H47-'1_Raw_Data'!I47,"")</f>
        <v>2.3949999999999996</v>
      </c>
      <c r="J46" s="15">
        <f t="shared" si="7"/>
        <v>-0.8809823045249815</v>
      </c>
      <c r="K46" s="15" t="e">
        <f t="shared" si="8"/>
        <v>#DIV/0!</v>
      </c>
      <c r="L46" s="15">
        <f t="shared" si="9"/>
        <v>0.26874394885378589</v>
      </c>
    </row>
    <row r="47" spans="1:12" ht="15" customHeight="1" x14ac:dyDescent="0.45">
      <c r="A47" s="14" t="str">
        <f>'1_Raw_Data'!A48</f>
        <v>2011 Q1</v>
      </c>
      <c r="B47" s="15">
        <f>IFERROR(IF('1_Raw_Data'!C48&lt;&gt;"",LN('1_Raw_Data'!C48/'1_Raw_Data'!C47),""),"")</f>
        <v>1.8547980351934005E-2</v>
      </c>
      <c r="C47" s="15">
        <f t="shared" si="5"/>
        <v>-2.0674586156434187E-2</v>
      </c>
      <c r="D47" s="16">
        <f t="shared" si="6"/>
        <v>1</v>
      </c>
      <c r="E47" s="9">
        <f>IF('1_Raw_Data'!D48&lt;&gt;"",100*('1_Raw_Data'!D48-'1_Raw_Data'!D44)/'1_Raw_Data'!D44,"")</f>
        <v>3.7164487267721746</v>
      </c>
      <c r="F47" s="9">
        <f>'1_Raw_Data'!E48</f>
        <v>24.65962</v>
      </c>
      <c r="G47" s="9">
        <f>IF('1_Raw_Data'!F48&lt;&gt;"",100*('1_Raw_Data'!F48-'1_Raw_Data'!F44)/'1_Raw_Data'!F44,"")</f>
        <v>1522.3929203537464</v>
      </c>
      <c r="H47" s="9">
        <f>'1_Raw_Data'!G48</f>
        <v>5.5</v>
      </c>
      <c r="I47" s="9">
        <f>IF('1_Raw_Data'!H48&lt;&gt;"", '1_Raw_Data'!H48-'1_Raw_Data'!I48,"")</f>
        <v>3.0950000000000006</v>
      </c>
      <c r="J47" s="15">
        <f t="shared" si="7"/>
        <v>-0.74981227484554869</v>
      </c>
      <c r="K47" s="15" t="e">
        <f t="shared" si="8"/>
        <v>#DIV/0!</v>
      </c>
      <c r="L47" s="15">
        <f t="shared" si="9"/>
        <v>0.6576618917850241</v>
      </c>
    </row>
    <row r="48" spans="1:12" ht="15" customHeight="1" x14ac:dyDescent="0.45">
      <c r="A48" s="14" t="str">
        <f>'1_Raw_Data'!A49</f>
        <v>2011 Q2</v>
      </c>
      <c r="B48" s="15">
        <f>IFERROR(IF('1_Raw_Data'!C49&lt;&gt;"",LN('1_Raw_Data'!C49/'1_Raw_Data'!C48),""),"")</f>
        <v>-2.0674586156434187E-2</v>
      </c>
      <c r="C48" s="15">
        <f t="shared" si="5"/>
        <v>-8.0209104987487401E-2</v>
      </c>
      <c r="D48" s="16">
        <f t="shared" si="6"/>
        <v>1</v>
      </c>
      <c r="E48" s="9">
        <f>IF('1_Raw_Data'!D49&lt;&gt;"",100*('1_Raw_Data'!D49-'1_Raw_Data'!D45)/'1_Raw_Data'!D45,"")</f>
        <v>4.7066848567530641</v>
      </c>
      <c r="F48" s="9">
        <f>'1_Raw_Data'!E49</f>
        <v>25.388909999999999</v>
      </c>
      <c r="G48" s="9">
        <f>IF('1_Raw_Data'!F49&lt;&gt;"",100*('1_Raw_Data'!F49-'1_Raw_Data'!F45)/'1_Raw_Data'!F45,"")</f>
        <v>-146.33901174478623</v>
      </c>
      <c r="H48" s="9">
        <f>'1_Raw_Data'!G49</f>
        <v>5.5</v>
      </c>
      <c r="I48" s="9">
        <f>IF('1_Raw_Data'!H49&lt;&gt;"", '1_Raw_Data'!H49-'1_Raw_Data'!I49,"")</f>
        <v>2.95</v>
      </c>
      <c r="J48" s="15">
        <f t="shared" si="7"/>
        <v>-0.32281515982381825</v>
      </c>
      <c r="K48" s="15" t="e">
        <f t="shared" si="8"/>
        <v>#DIV/0!</v>
      </c>
      <c r="L48" s="15">
        <f t="shared" si="9"/>
        <v>0.57710031789212457</v>
      </c>
    </row>
    <row r="49" spans="1:12" ht="15" customHeight="1" x14ac:dyDescent="0.45">
      <c r="A49" s="14" t="str">
        <f>'1_Raw_Data'!A50</f>
        <v>2011 Q3</v>
      </c>
      <c r="B49" s="15">
        <f>IFERROR(IF('1_Raw_Data'!C50&lt;&gt;"",LN('1_Raw_Data'!C50/'1_Raw_Data'!C49),""),"")</f>
        <v>-8.0209104987487401E-2</v>
      </c>
      <c r="C49" s="15">
        <f t="shared" si="5"/>
        <v>7.6396546215733538E-2</v>
      </c>
      <c r="D49" s="16">
        <f t="shared" si="6"/>
        <v>0</v>
      </c>
      <c r="E49" s="9">
        <f>IF('1_Raw_Data'!D50&lt;&gt;"",100*('1_Raw_Data'!D50-'1_Raw_Data'!D46)/'1_Raw_Data'!D46,"")</f>
        <v>5.4054054054053999</v>
      </c>
      <c r="F49" s="9">
        <f>'1_Raw_Data'!E50</f>
        <v>24.902830000000002</v>
      </c>
      <c r="G49" s="9">
        <f>IF('1_Raw_Data'!F50&lt;&gt;"",100*('1_Raw_Data'!F50-'1_Raw_Data'!F46)/'1_Raw_Data'!F46,"")</f>
        <v>-174.32055749129057</v>
      </c>
      <c r="H49" s="9">
        <f>'1_Raw_Data'!G50</f>
        <v>5.5</v>
      </c>
      <c r="I49" s="9">
        <f>IF('1_Raw_Data'!H50&lt;&gt;"", '1_Raw_Data'!H50-'1_Raw_Data'!I50,"")</f>
        <v>2.7799999999999994</v>
      </c>
      <c r="J49" s="15">
        <f t="shared" si="7"/>
        <v>-2.1521711273616469E-2</v>
      </c>
      <c r="K49" s="15" t="e">
        <f t="shared" si="8"/>
        <v>#DIV/0!</v>
      </c>
      <c r="L49" s="15">
        <f t="shared" si="9"/>
        <v>0.48264881746596644</v>
      </c>
    </row>
    <row r="50" spans="1:12" ht="15" customHeight="1" x14ac:dyDescent="0.45">
      <c r="A50" s="14" t="str">
        <f>'1_Raw_Data'!A51</f>
        <v>2011 Q4</v>
      </c>
      <c r="B50" s="15">
        <f>IFERROR(IF('1_Raw_Data'!C51&lt;&gt;"",LN('1_Raw_Data'!C51/'1_Raw_Data'!C50),""),"")</f>
        <v>7.6396546215733538E-2</v>
      </c>
      <c r="C50" s="15">
        <f t="shared" si="5"/>
        <v>3.9045667620189253E-2</v>
      </c>
      <c r="D50" s="16">
        <f t="shared" si="6"/>
        <v>0</v>
      </c>
      <c r="E50" s="9">
        <f>IF('1_Raw_Data'!D51&lt;&gt;"",100*('1_Raw_Data'!D51-'1_Raw_Data'!D47)/'1_Raw_Data'!D47,"")</f>
        <v>6.0606060606060606</v>
      </c>
      <c r="F50" s="9">
        <f>'1_Raw_Data'!E51</f>
        <v>24.193090000000002</v>
      </c>
      <c r="G50" s="9">
        <f>IF('1_Raw_Data'!F51&lt;&gt;"",100*('1_Raw_Data'!F51-'1_Raw_Data'!F47)/'1_Raw_Data'!F47,"")</f>
        <v>466.34349030460061</v>
      </c>
      <c r="H50" s="9">
        <f>'1_Raw_Data'!G51</f>
        <v>5.5</v>
      </c>
      <c r="I50" s="9">
        <f>IF('1_Raw_Data'!H51&lt;&gt;"", '1_Raw_Data'!H51-'1_Raw_Data'!I51,"")</f>
        <v>2.4499999999999993</v>
      </c>
      <c r="J50" s="15">
        <f t="shared" si="7"/>
        <v>0.26100563857821019</v>
      </c>
      <c r="K50" s="15" t="e">
        <f t="shared" si="8"/>
        <v>#DIV/0!</v>
      </c>
      <c r="L50" s="15">
        <f t="shared" si="9"/>
        <v>0.29930178722695439</v>
      </c>
    </row>
    <row r="51" spans="1:12" ht="15" customHeight="1" x14ac:dyDescent="0.45">
      <c r="A51" s="14" t="str">
        <f>'1_Raw_Data'!A52</f>
        <v>2012 Q1</v>
      </c>
      <c r="B51" s="15">
        <f>IFERROR(IF('1_Raw_Data'!C52&lt;&gt;"",LN('1_Raw_Data'!C52/'1_Raw_Data'!C51),""),"")</f>
        <v>3.9045667620189253E-2</v>
      </c>
      <c r="C51" s="15">
        <f t="shared" si="5"/>
        <v>1.1677639763518449E-3</v>
      </c>
      <c r="D51" s="16">
        <f t="shared" si="6"/>
        <v>0</v>
      </c>
      <c r="E51" s="9">
        <f>IF('1_Raw_Data'!D52&lt;&gt;"",100*('1_Raw_Data'!D52-'1_Raw_Data'!D48)/'1_Raw_Data'!D48,"")</f>
        <v>6.1712010617120283</v>
      </c>
      <c r="F51" s="9">
        <f>'1_Raw_Data'!E52</f>
        <v>24.86591</v>
      </c>
      <c r="G51" s="9">
        <f>IF('1_Raw_Data'!F52&lt;&gt;"",100*('1_Raw_Data'!F52-'1_Raw_Data'!F48)/'1_Raw_Data'!F48,"")</f>
        <v>-74.329956094516064</v>
      </c>
      <c r="H51" s="9">
        <f>'1_Raw_Data'!G52</f>
        <v>5.5</v>
      </c>
      <c r="I51" s="9">
        <f>IF('1_Raw_Data'!H52&lt;&gt;"", '1_Raw_Data'!H52-'1_Raw_Data'!I52,"")</f>
        <v>2.3650000000000002</v>
      </c>
      <c r="J51" s="15">
        <f t="shared" si="7"/>
        <v>0.30869501788714804</v>
      </c>
      <c r="K51" s="15" t="e">
        <f t="shared" si="8"/>
        <v>#DIV/0!</v>
      </c>
      <c r="L51" s="15">
        <f t="shared" si="9"/>
        <v>0.25207603701387604</v>
      </c>
    </row>
    <row r="52" spans="1:12" ht="15" customHeight="1" x14ac:dyDescent="0.45">
      <c r="A52" s="14" t="str">
        <f>'1_Raw_Data'!A53</f>
        <v>2012 Q2</v>
      </c>
      <c r="B52" s="15">
        <f>IFERROR(IF('1_Raw_Data'!C53&lt;&gt;"",LN('1_Raw_Data'!C53/'1_Raw_Data'!C52),""),"")</f>
        <v>1.1677639763518449E-3</v>
      </c>
      <c r="C52" s="15">
        <f t="shared" si="5"/>
        <v>8.7924454761645565E-2</v>
      </c>
      <c r="D52" s="16">
        <f t="shared" si="6"/>
        <v>0</v>
      </c>
      <c r="E52" s="9">
        <f>IF('1_Raw_Data'!D53&lt;&gt;"",100*('1_Raw_Data'!D53-'1_Raw_Data'!D49)/'1_Raw_Data'!D49,"")</f>
        <v>5.8631921824104234</v>
      </c>
      <c r="F52" s="9">
        <f>'1_Raw_Data'!E53</f>
        <v>24.702100000000002</v>
      </c>
      <c r="G52" s="9">
        <f>IF('1_Raw_Data'!F53&lt;&gt;"",100*('1_Raw_Data'!F53-'1_Raw_Data'!F49)/'1_Raw_Data'!F49,"")</f>
        <v>-126.03821564799941</v>
      </c>
      <c r="H52" s="9">
        <f>'1_Raw_Data'!G53</f>
        <v>5.5</v>
      </c>
      <c r="I52" s="9">
        <f>IF('1_Raw_Data'!H53&lt;&gt;"", '1_Raw_Data'!H53-'1_Raw_Data'!I53,"")</f>
        <v>1.6600000000000001</v>
      </c>
      <c r="J52" s="15">
        <f t="shared" si="7"/>
        <v>0.17587931981178101</v>
      </c>
      <c r="K52" s="15" t="e">
        <f t="shared" si="8"/>
        <v>#DIV/0!</v>
      </c>
      <c r="L52" s="15">
        <f t="shared" si="9"/>
        <v>-0.13961989122401325</v>
      </c>
    </row>
    <row r="53" spans="1:12" ht="15" customHeight="1" x14ac:dyDescent="0.45">
      <c r="A53" s="14" t="str">
        <f>'1_Raw_Data'!A54</f>
        <v>2012 Q3</v>
      </c>
      <c r="B53" s="15">
        <f>IFERROR(IF('1_Raw_Data'!C54&lt;&gt;"",LN('1_Raw_Data'!C54/'1_Raw_Data'!C53),""),"")</f>
        <v>8.7924454761645565E-2</v>
      </c>
      <c r="C53" s="15">
        <f t="shared" si="5"/>
        <v>0.10029236842452276</v>
      </c>
      <c r="D53" s="16">
        <f t="shared" si="6"/>
        <v>0</v>
      </c>
      <c r="E53" s="9">
        <f>IF('1_Raw_Data'!D54&lt;&gt;"",100*('1_Raw_Data'!D54-'1_Raw_Data'!D50)/'1_Raw_Data'!D50,"")</f>
        <v>5.0000000000000018</v>
      </c>
      <c r="F53" s="9">
        <f>'1_Raw_Data'!E54</f>
        <v>25.06521</v>
      </c>
      <c r="G53" s="9">
        <f>IF('1_Raw_Data'!F54&lt;&gt;"",100*('1_Raw_Data'!F54-'1_Raw_Data'!F50)/'1_Raw_Data'!F50,"")</f>
        <v>2.7278550167609903</v>
      </c>
      <c r="H53" s="9">
        <f>'1_Raw_Data'!G54</f>
        <v>5</v>
      </c>
      <c r="I53" s="9">
        <f>IF('1_Raw_Data'!H54&lt;&gt;"", '1_Raw_Data'!H54-'1_Raw_Data'!I54,"")</f>
        <v>1.6000000000000005</v>
      </c>
      <c r="J53" s="15">
        <f t="shared" si="7"/>
        <v>-0.19633550899442961</v>
      </c>
      <c r="K53" s="15" t="e">
        <f t="shared" si="8"/>
        <v>#DIV/0!</v>
      </c>
      <c r="L53" s="15">
        <f t="shared" si="9"/>
        <v>-0.17295571490383341</v>
      </c>
    </row>
    <row r="54" spans="1:12" ht="15" customHeight="1" x14ac:dyDescent="0.45">
      <c r="A54" s="14" t="str">
        <f>'1_Raw_Data'!A55</f>
        <v>2012 Q4</v>
      </c>
      <c r="B54" s="15">
        <f>IFERROR(IF('1_Raw_Data'!C55&lt;&gt;"",LN('1_Raw_Data'!C55/'1_Raw_Data'!C54),""),"")</f>
        <v>0.10029236842452276</v>
      </c>
      <c r="C54" s="15">
        <f t="shared" si="5"/>
        <v>-5.3252867330985623E-2</v>
      </c>
      <c r="D54" s="16">
        <f t="shared" si="6"/>
        <v>1</v>
      </c>
      <c r="E54" s="9">
        <f>IF('1_Raw_Data'!D55&lt;&gt;"",100*('1_Raw_Data'!D55-'1_Raw_Data'!D51)/'1_Raw_Data'!D51,"")</f>
        <v>5.6507936507936547</v>
      </c>
      <c r="F54" s="9">
        <f>'1_Raw_Data'!E55</f>
        <v>24.84385</v>
      </c>
      <c r="G54" s="9">
        <f>IF('1_Raw_Data'!F55&lt;&gt;"",100*('1_Raw_Data'!F55-'1_Raw_Data'!F51)/'1_Raw_Data'!F51,"")</f>
        <v>-39.604052421224822</v>
      </c>
      <c r="H54" s="9">
        <f>'1_Raw_Data'!G55</f>
        <v>5</v>
      </c>
      <c r="I54" s="9">
        <f>IF('1_Raw_Data'!H55&lt;&gt;"", '1_Raw_Data'!H55-'1_Raw_Data'!I55,"")</f>
        <v>1.5300000000000002</v>
      </c>
      <c r="J54" s="15">
        <f t="shared" si="7"/>
        <v>8.429150808755892E-2</v>
      </c>
      <c r="K54" s="15" t="e">
        <f t="shared" si="8"/>
        <v>#DIV/0!</v>
      </c>
      <c r="L54" s="15">
        <f t="shared" si="9"/>
        <v>-0.2118475091969573</v>
      </c>
    </row>
    <row r="55" spans="1:12" ht="15" customHeight="1" x14ac:dyDescent="0.45">
      <c r="A55" s="14" t="str">
        <f>'1_Raw_Data'!A56</f>
        <v>2013 Q1</v>
      </c>
      <c r="B55" s="15">
        <f>IFERROR(IF('1_Raw_Data'!C56&lt;&gt;"",LN('1_Raw_Data'!C56/'1_Raw_Data'!C55),""),"")</f>
        <v>-5.3252867330985623E-2</v>
      </c>
      <c r="C55" s="15">
        <f t="shared" si="5"/>
        <v>2.2272151191495636E-2</v>
      </c>
      <c r="D55" s="16">
        <f t="shared" si="6"/>
        <v>0</v>
      </c>
      <c r="E55" s="9">
        <f>IF('1_Raw_Data'!D56&lt;&gt;"",100*('1_Raw_Data'!D56-'1_Raw_Data'!D52)/'1_Raw_Data'!D52,"")</f>
        <v>5.6874999999999964</v>
      </c>
      <c r="F55" s="9">
        <f>'1_Raw_Data'!E56</f>
        <v>24.83888</v>
      </c>
      <c r="G55" s="9">
        <f>IF('1_Raw_Data'!F56&lt;&gt;"",100*('1_Raw_Data'!F56-'1_Raw_Data'!F52)/'1_Raw_Data'!F52,"")</f>
        <v>-157.7254460208149</v>
      </c>
      <c r="H55" s="9">
        <f>'1_Raw_Data'!G56</f>
        <v>5</v>
      </c>
      <c r="I55" s="9">
        <f>IF('1_Raw_Data'!H56&lt;&gt;"", '1_Raw_Data'!H56-'1_Raw_Data'!I56,"")</f>
        <v>1.2700000000000005</v>
      </c>
      <c r="J55" s="15">
        <f t="shared" si="7"/>
        <v>0.10011955630711902</v>
      </c>
      <c r="K55" s="15" t="e">
        <f t="shared" si="8"/>
        <v>#DIV/0!</v>
      </c>
      <c r="L55" s="15">
        <f t="shared" si="9"/>
        <v>-0.35630274514284543</v>
      </c>
    </row>
    <row r="56" spans="1:12" ht="15" customHeight="1" x14ac:dyDescent="0.45">
      <c r="A56" s="14" t="str">
        <f>'1_Raw_Data'!A57</f>
        <v>2013 Q2</v>
      </c>
      <c r="B56" s="15">
        <f>IFERROR(IF('1_Raw_Data'!C57&lt;&gt;"",LN('1_Raw_Data'!C57/'1_Raw_Data'!C56),""),"")</f>
        <v>2.2272151191495636E-2</v>
      </c>
      <c r="C56" s="15">
        <f t="shared" si="5"/>
        <v>0.1245533277505369</v>
      </c>
      <c r="D56" s="16">
        <f t="shared" si="6"/>
        <v>0</v>
      </c>
      <c r="E56" s="9">
        <f>IF('1_Raw_Data'!D57&lt;&gt;"",100*('1_Raw_Data'!D57-'1_Raw_Data'!D53)/'1_Raw_Data'!D53,"")</f>
        <v>5.4769230769230806</v>
      </c>
      <c r="F56" s="9">
        <f>'1_Raw_Data'!E57</f>
        <v>25.188770000000002</v>
      </c>
      <c r="G56" s="9">
        <f>IF('1_Raw_Data'!F57&lt;&gt;"",100*('1_Raw_Data'!F57-'1_Raw_Data'!F53)/'1_Raw_Data'!F53,"")</f>
        <v>255.88294651863947</v>
      </c>
      <c r="H56" s="9">
        <f>'1_Raw_Data'!G57</f>
        <v>5</v>
      </c>
      <c r="I56" s="9">
        <f>IF('1_Raw_Data'!H57&lt;&gt;"", '1_Raw_Data'!H57-'1_Raw_Data'!I57,"")</f>
        <v>2.67</v>
      </c>
      <c r="J56" s="15">
        <f t="shared" si="7"/>
        <v>9.3172356063673575E-3</v>
      </c>
      <c r="K56" s="15" t="e">
        <f t="shared" si="8"/>
        <v>#DIV/0!</v>
      </c>
      <c r="L56" s="15">
        <f t="shared" si="9"/>
        <v>0.42153314071962944</v>
      </c>
    </row>
    <row r="57" spans="1:12" ht="15" customHeight="1" x14ac:dyDescent="0.45">
      <c r="A57" s="14" t="str">
        <f>'1_Raw_Data'!A58</f>
        <v>2013 Q3</v>
      </c>
      <c r="B57" s="15">
        <f>IFERROR(IF('1_Raw_Data'!C58&lt;&gt;"",LN('1_Raw_Data'!C58/'1_Raw_Data'!C57),""),"")</f>
        <v>0.1245533277505369</v>
      </c>
      <c r="C57" s="15">
        <f t="shared" si="5"/>
        <v>5.2874510984333732E-2</v>
      </c>
      <c r="D57" s="16">
        <f t="shared" si="6"/>
        <v>0</v>
      </c>
      <c r="E57" s="9">
        <f>IF('1_Raw_Data'!D58&lt;&gt;"",100*('1_Raw_Data'!D58-'1_Raw_Data'!D54)/'1_Raw_Data'!D54,"")</f>
        <v>6.2881562881562827</v>
      </c>
      <c r="F57" s="9">
        <f>'1_Raw_Data'!E58</f>
        <v>24.412960000000002</v>
      </c>
      <c r="G57" s="9">
        <f>IF('1_Raw_Data'!F58&lt;&gt;"",100*('1_Raw_Data'!F58-'1_Raw_Data'!F54)/'1_Raw_Data'!F54,"")</f>
        <v>-234.11344912628454</v>
      </c>
      <c r="H57" s="9">
        <f>'1_Raw_Data'!G58</f>
        <v>5</v>
      </c>
      <c r="I57" s="9">
        <f>IF('1_Raw_Data'!H58&lt;&gt;"", '1_Raw_Data'!H58-'1_Raw_Data'!I58,"")</f>
        <v>2.59</v>
      </c>
      <c r="J57" s="15">
        <f t="shared" si="7"/>
        <v>0.35912697322225945</v>
      </c>
      <c r="K57" s="15" t="e">
        <f t="shared" si="8"/>
        <v>#DIV/0!</v>
      </c>
      <c r="L57" s="15">
        <f t="shared" si="9"/>
        <v>0.37708537581320223</v>
      </c>
    </row>
    <row r="58" spans="1:12" ht="15" customHeight="1" x14ac:dyDescent="0.45">
      <c r="A58" s="14" t="str">
        <f>'1_Raw_Data'!A59</f>
        <v>2013 Q4</v>
      </c>
      <c r="B58" s="15">
        <f>IFERROR(IF('1_Raw_Data'!C59&lt;&gt;"",LN('1_Raw_Data'!C59/'1_Raw_Data'!C58),""),"")</f>
        <v>5.2874510984333732E-2</v>
      </c>
      <c r="C58" s="15">
        <f t="shared" si="5"/>
        <v>4.9899422927305252E-2</v>
      </c>
      <c r="D58" s="16">
        <f t="shared" si="6"/>
        <v>0</v>
      </c>
      <c r="E58" s="9">
        <f>IF('1_Raw_Data'!D59&lt;&gt;"",100*('1_Raw_Data'!D59-'1_Raw_Data'!D55)/'1_Raw_Data'!D55,"")</f>
        <v>5.5288461538461595</v>
      </c>
      <c r="F58" s="9">
        <f>'1_Raw_Data'!E59</f>
        <v>24.519680000000001</v>
      </c>
      <c r="G58" s="9">
        <f>IF('1_Raw_Data'!F59&lt;&gt;"",100*('1_Raw_Data'!F59-'1_Raw_Data'!F55)/'1_Raw_Data'!F55,"")</f>
        <v>137.68763735245096</v>
      </c>
      <c r="H58" s="9">
        <f>'1_Raw_Data'!G59</f>
        <v>5</v>
      </c>
      <c r="I58" s="9">
        <f>IF('1_Raw_Data'!H59&lt;&gt;"", '1_Raw_Data'!H59-'1_Raw_Data'!I59,"")</f>
        <v>2.88</v>
      </c>
      <c r="J58" s="15">
        <f t="shared" si="7"/>
        <v>3.1706848929842012E-2</v>
      </c>
      <c r="K58" s="15" t="e">
        <f t="shared" si="8"/>
        <v>#DIV/0!</v>
      </c>
      <c r="L58" s="15">
        <f t="shared" si="9"/>
        <v>0.53820852359900062</v>
      </c>
    </row>
    <row r="59" spans="1:12" ht="15" customHeight="1" x14ac:dyDescent="0.45">
      <c r="A59" s="14" t="str">
        <f>'1_Raw_Data'!A60</f>
        <v>2014 Q1</v>
      </c>
      <c r="B59" s="15">
        <f>IFERROR(IF('1_Raw_Data'!C60&lt;&gt;"",LN('1_Raw_Data'!C60/'1_Raw_Data'!C59),""),"")</f>
        <v>4.9899422927305252E-2</v>
      </c>
      <c r="C59" s="15">
        <f t="shared" si="5"/>
        <v>7.8235325845919745E-2</v>
      </c>
      <c r="D59" s="16">
        <f t="shared" si="6"/>
        <v>0</v>
      </c>
      <c r="E59" s="9">
        <f>IF('1_Raw_Data'!D60&lt;&gt;"",100*('1_Raw_Data'!D60-'1_Raw_Data'!D56)/'1_Raw_Data'!D56,"")</f>
        <v>5.9727971614429212</v>
      </c>
      <c r="F59" s="9">
        <f>'1_Raw_Data'!E60</f>
        <v>24.938110000000002</v>
      </c>
      <c r="G59" s="9">
        <f>IF('1_Raw_Data'!F60&lt;&gt;"",100*('1_Raw_Data'!F60-'1_Raw_Data'!F56)/'1_Raw_Data'!F56,"")</f>
        <v>-16.503126747526498</v>
      </c>
      <c r="H59" s="9">
        <f>'1_Raw_Data'!G60</f>
        <v>5.5</v>
      </c>
      <c r="I59" s="9">
        <f>IF('1_Raw_Data'!H60&lt;&gt;"", '1_Raw_Data'!H60-'1_Raw_Data'!I60,"")</f>
        <v>2.7949999999999999</v>
      </c>
      <c r="J59" s="15">
        <f t="shared" si="7"/>
        <v>0.22314179430844175</v>
      </c>
      <c r="K59" s="15" t="e">
        <f t="shared" si="8"/>
        <v>#DIV/0!</v>
      </c>
      <c r="L59" s="15">
        <f t="shared" si="9"/>
        <v>0.49098277338592183</v>
      </c>
    </row>
    <row r="60" spans="1:12" ht="15" customHeight="1" x14ac:dyDescent="0.45">
      <c r="A60" s="14" t="str">
        <f>'1_Raw_Data'!A61</f>
        <v>2014 Q2</v>
      </c>
      <c r="B60" s="15">
        <f>IFERROR(IF('1_Raw_Data'!C61&lt;&gt;"",LN('1_Raw_Data'!C61/'1_Raw_Data'!C60),""),"")</f>
        <v>7.8235325845919745E-2</v>
      </c>
      <c r="C60" s="15">
        <f t="shared" si="5"/>
        <v>-8.177670823655718E-2</v>
      </c>
      <c r="D60" s="16">
        <f t="shared" si="6"/>
        <v>1</v>
      </c>
      <c r="E60" s="9">
        <f>IF('1_Raw_Data'!D61&lt;&gt;"",100*('1_Raw_Data'!D61-'1_Raw_Data'!D57)/'1_Raw_Data'!D57,"")</f>
        <v>6.4760793465577651</v>
      </c>
      <c r="F60" s="9">
        <f>'1_Raw_Data'!E61</f>
        <v>25.378679999999999</v>
      </c>
      <c r="G60" s="9">
        <f>IF('1_Raw_Data'!F61&lt;&gt;"",100*('1_Raw_Data'!F61-'1_Raw_Data'!F57)/'1_Raw_Data'!F57,"")</f>
        <v>-105.47816473189174</v>
      </c>
      <c r="H60" s="9">
        <f>'1_Raw_Data'!G61</f>
        <v>5.5</v>
      </c>
      <c r="I60" s="9">
        <f>IF('1_Raw_Data'!H61&lt;&gt;"", '1_Raw_Data'!H61-'1_Raw_Data'!I61,"")</f>
        <v>2.4550000000000001</v>
      </c>
      <c r="J60" s="15">
        <f t="shared" si="7"/>
        <v>0.44016078056782837</v>
      </c>
      <c r="K60" s="15" t="e">
        <f t="shared" si="8"/>
        <v>#DIV/0!</v>
      </c>
      <c r="L60" s="15">
        <f t="shared" si="9"/>
        <v>0.30207977253360652</v>
      </c>
    </row>
    <row r="61" spans="1:12" ht="15" customHeight="1" x14ac:dyDescent="0.45">
      <c r="A61" s="14" t="str">
        <f>'1_Raw_Data'!A62</f>
        <v>2014 Q3</v>
      </c>
      <c r="B61" s="15">
        <f>IFERROR(IF('1_Raw_Data'!C62&lt;&gt;"",LN('1_Raw_Data'!C62/'1_Raw_Data'!C61),""),"")</f>
        <v>-8.177670823655718E-2</v>
      </c>
      <c r="C61" s="15">
        <f t="shared" si="5"/>
        <v>7.1938542856961607E-3</v>
      </c>
      <c r="D61" s="16">
        <f t="shared" si="6"/>
        <v>0</v>
      </c>
      <c r="E61" s="9">
        <f>IF('1_Raw_Data'!D62&lt;&gt;"",100*('1_Raw_Data'!D62-'1_Raw_Data'!D58)/'1_Raw_Data'!D58,"")</f>
        <v>6.3182079264790305</v>
      </c>
      <c r="F61" s="9">
        <f>'1_Raw_Data'!E62</f>
        <v>25.345400000000001</v>
      </c>
      <c r="G61" s="9">
        <f>IF('1_Raw_Data'!F62&lt;&gt;"",100*('1_Raw_Data'!F62-'1_Raw_Data'!F58)/'1_Raw_Data'!F58,"")</f>
        <v>165.03229594834738</v>
      </c>
      <c r="H61" s="9">
        <f>'1_Raw_Data'!G62</f>
        <v>5.75</v>
      </c>
      <c r="I61" s="9">
        <f>IF('1_Raw_Data'!H62&lt;&gt;"", '1_Raw_Data'!H62-'1_Raw_Data'!I62,"")</f>
        <v>2.1750000000000007</v>
      </c>
      <c r="J61" s="15">
        <f t="shared" si="7"/>
        <v>0.37208546107882495</v>
      </c>
      <c r="K61" s="15" t="e">
        <f t="shared" si="8"/>
        <v>#DIV/0!</v>
      </c>
      <c r="L61" s="15">
        <f t="shared" si="9"/>
        <v>0.14651259536111186</v>
      </c>
    </row>
    <row r="62" spans="1:12" ht="15" customHeight="1" x14ac:dyDescent="0.45">
      <c r="A62" s="14" t="str">
        <f>'1_Raw_Data'!A63</f>
        <v>2014 Q4</v>
      </c>
      <c r="B62" s="15">
        <f>IFERROR(IF('1_Raw_Data'!C63&lt;&gt;"",LN('1_Raw_Data'!C63/'1_Raw_Data'!C62),""),"")</f>
        <v>7.1938542856961607E-3</v>
      </c>
      <c r="C62" s="15">
        <f t="shared" si="5"/>
        <v>5.2431678522098478E-2</v>
      </c>
      <c r="D62" s="16">
        <f t="shared" si="6"/>
        <v>0</v>
      </c>
      <c r="E62" s="9">
        <f>IF('1_Raw_Data'!D63&lt;&gt;"",100*('1_Raw_Data'!D63-'1_Raw_Data'!D59)/'1_Raw_Data'!D59,"")</f>
        <v>5.5808656036446207</v>
      </c>
      <c r="F62" s="9">
        <f>'1_Raw_Data'!E63</f>
        <v>24.655619999999999</v>
      </c>
      <c r="G62" s="9">
        <f>IF('1_Raw_Data'!F63&lt;&gt;"",100*('1_Raw_Data'!F63-'1_Raw_Data'!F59)/'1_Raw_Data'!F59,"")</f>
        <v>140.35168099082722</v>
      </c>
      <c r="H62" s="9">
        <f>'1_Raw_Data'!G63</f>
        <v>5.75</v>
      </c>
      <c r="I62" s="9">
        <f>IF('1_Raw_Data'!H63&lt;&gt;"", '1_Raw_Data'!H63-'1_Raw_Data'!I63,"")</f>
        <v>1.9000000000000004</v>
      </c>
      <c r="J62" s="15">
        <f t="shared" si="7"/>
        <v>5.4138018947229014E-2</v>
      </c>
      <c r="K62" s="15" t="e">
        <f t="shared" si="8"/>
        <v>#DIV/0!</v>
      </c>
      <c r="L62" s="15">
        <f t="shared" si="9"/>
        <v>-6.2765965047316746E-3</v>
      </c>
    </row>
    <row r="63" spans="1:12" ht="15" customHeight="1" x14ac:dyDescent="0.45">
      <c r="A63" s="14" t="str">
        <f>'1_Raw_Data'!A64</f>
        <v>2015 Q1</v>
      </c>
      <c r="B63" s="15">
        <f>IFERROR(IF('1_Raw_Data'!C64&lt;&gt;"",LN('1_Raw_Data'!C64/'1_Raw_Data'!C63),""),"")</f>
        <v>5.2431678522098478E-2</v>
      </c>
      <c r="C63" s="15">
        <f t="shared" si="5"/>
        <v>6.636926264084647E-3</v>
      </c>
      <c r="D63" s="16">
        <f t="shared" si="6"/>
        <v>0</v>
      </c>
      <c r="E63" s="9">
        <f>IF('1_Raw_Data'!D64&lt;&gt;"",100*('1_Raw_Data'!D64-'1_Raw_Data'!D60)/'1_Raw_Data'!D60,"")</f>
        <v>4.0736607142857206</v>
      </c>
      <c r="F63" s="9">
        <f>'1_Raw_Data'!E64</f>
        <v>26.065529999999999</v>
      </c>
      <c r="G63" s="9">
        <f>IF('1_Raw_Data'!F64&lt;&gt;"",100*('1_Raw_Data'!F64-'1_Raw_Data'!F60)/'1_Raw_Data'!F60,"")</f>
        <v>-127.09365486771445</v>
      </c>
      <c r="H63" s="9">
        <f>'1_Raw_Data'!G64</f>
        <v>5.75</v>
      </c>
      <c r="I63" s="9">
        <f>IF('1_Raw_Data'!H64&lt;&gt;"", '1_Raw_Data'!H64-'1_Raw_Data'!I64,"")</f>
        <v>1.8250000000000002</v>
      </c>
      <c r="J63" s="15">
        <f t="shared" si="7"/>
        <v>-0.59577983399489398</v>
      </c>
      <c r="K63" s="15" t="e">
        <f t="shared" si="8"/>
        <v>#DIV/0!</v>
      </c>
      <c r="L63" s="15">
        <f t="shared" si="9"/>
        <v>-4.7946376104507228E-2</v>
      </c>
    </row>
    <row r="64" spans="1:12" ht="15" customHeight="1" x14ac:dyDescent="0.45">
      <c r="A64" s="14" t="str">
        <f>'1_Raw_Data'!A65</f>
        <v>2015 Q2</v>
      </c>
      <c r="B64" s="15">
        <f>IFERROR(IF('1_Raw_Data'!C65&lt;&gt;"",LN('1_Raw_Data'!C65/'1_Raw_Data'!C64),""),"")</f>
        <v>6.636926264084647E-3</v>
      </c>
      <c r="C64" s="15">
        <f t="shared" si="5"/>
        <v>-1.4936606768186936E-2</v>
      </c>
      <c r="D64" s="16">
        <f t="shared" si="6"/>
        <v>1</v>
      </c>
      <c r="E64" s="9">
        <f>IF('1_Raw_Data'!D65&lt;&gt;"",100*('1_Raw_Data'!D65-'1_Raw_Data'!D61)/'1_Raw_Data'!D61,"")</f>
        <v>4.7123287671232763</v>
      </c>
      <c r="F64" s="9">
        <f>'1_Raw_Data'!E65</f>
        <v>25.036159999999999</v>
      </c>
      <c r="G64" s="9">
        <f>IF('1_Raw_Data'!F65&lt;&gt;"",100*('1_Raw_Data'!F65-'1_Raw_Data'!F61)/'1_Raw_Data'!F61,"")</f>
        <v>4152.0498524139402</v>
      </c>
      <c r="H64" s="9">
        <f>'1_Raw_Data'!G65</f>
        <v>5.75</v>
      </c>
      <c r="I64" s="9">
        <f>IF('1_Raw_Data'!H65&lt;&gt;"", '1_Raw_Data'!H65-'1_Raw_Data'!I65,"")</f>
        <v>2.4900000000000002</v>
      </c>
      <c r="J64" s="15">
        <f t="shared" si="7"/>
        <v>-0.32038146408948026</v>
      </c>
      <c r="K64" s="15" t="e">
        <f t="shared" si="8"/>
        <v>#DIV/0!</v>
      </c>
      <c r="L64" s="15">
        <f t="shared" si="9"/>
        <v>0.32152566968016849</v>
      </c>
    </row>
    <row r="65" spans="1:12" ht="15" customHeight="1" x14ac:dyDescent="0.45">
      <c r="A65" s="14" t="str">
        <f>'1_Raw_Data'!A66</f>
        <v>2015 Q3</v>
      </c>
      <c r="B65" s="15">
        <f>IFERROR(IF('1_Raw_Data'!C66&lt;&gt;"",LN('1_Raw_Data'!C66/'1_Raw_Data'!C65),""),"")</f>
        <v>-1.4936606768186936E-2</v>
      </c>
      <c r="C65" s="15">
        <f t="shared" si="5"/>
        <v>2.8196396228160748E-3</v>
      </c>
      <c r="D65" s="16">
        <f t="shared" si="6"/>
        <v>0</v>
      </c>
      <c r="E65" s="9">
        <f>IF('1_Raw_Data'!D66&lt;&gt;"",100*('1_Raw_Data'!D66-'1_Raw_Data'!D62)/'1_Raw_Data'!D62,"")</f>
        <v>4.7001620745542931</v>
      </c>
      <c r="F65" s="9">
        <f>'1_Raw_Data'!E66</f>
        <v>25.44669</v>
      </c>
      <c r="G65" s="9">
        <f>IF('1_Raw_Data'!F66&lt;&gt;"",100*('1_Raw_Data'!F66-'1_Raw_Data'!F62)/'1_Raw_Data'!F62,"")</f>
        <v>-163.37045786927814</v>
      </c>
      <c r="H65" s="9">
        <f>'1_Raw_Data'!G66</f>
        <v>6</v>
      </c>
      <c r="I65" s="9">
        <f>IF('1_Raw_Data'!H66&lt;&gt;"", '1_Raw_Data'!H66-'1_Raw_Data'!I66,"")</f>
        <v>2.1950000000000012</v>
      </c>
      <c r="J65" s="15">
        <f t="shared" si="7"/>
        <v>-0.32562783156590469</v>
      </c>
      <c r="K65" s="15" t="e">
        <f t="shared" si="8"/>
        <v>#DIV/0!</v>
      </c>
      <c r="L65" s="15">
        <f t="shared" si="9"/>
        <v>0.15762453658771891</v>
      </c>
    </row>
    <row r="66" spans="1:12" ht="15" customHeight="1" x14ac:dyDescent="0.45">
      <c r="A66" s="14" t="str">
        <f>'1_Raw_Data'!A67</f>
        <v>2015 Q4</v>
      </c>
      <c r="B66" s="15">
        <f>IFERROR(IF('1_Raw_Data'!C67&lt;&gt;"",LN('1_Raw_Data'!C67/'1_Raw_Data'!C66),""),"")</f>
        <v>2.8196396228160748E-3</v>
      </c>
      <c r="C66" s="15">
        <f t="shared" si="5"/>
        <v>-6.8359405841031586E-3</v>
      </c>
      <c r="D66" s="16">
        <f t="shared" si="6"/>
        <v>1</v>
      </c>
      <c r="E66" s="9">
        <f>IF('1_Raw_Data'!D67&lt;&gt;"",100*('1_Raw_Data'!D67-'1_Raw_Data'!D63)/'1_Raw_Data'!D63,"")</f>
        <v>4.9083063646170526</v>
      </c>
      <c r="F66" s="9">
        <f>'1_Raw_Data'!E67</f>
        <v>24.83982</v>
      </c>
      <c r="G66" s="9">
        <f>IF('1_Raw_Data'!F67&lt;&gt;"",100*('1_Raw_Data'!F67-'1_Raw_Data'!F63)/'1_Raw_Data'!F63,"")</f>
        <v>-113.44239625324488</v>
      </c>
      <c r="H66" s="9">
        <f>'1_Raw_Data'!G67</f>
        <v>6.25</v>
      </c>
      <c r="I66" s="9">
        <f>IF('1_Raw_Data'!H67&lt;&gt;"", '1_Raw_Data'!H67-'1_Raw_Data'!I67,"")</f>
        <v>3.3699999999999992</v>
      </c>
      <c r="J66" s="15">
        <f t="shared" si="7"/>
        <v>-0.23587448014379514</v>
      </c>
      <c r="K66" s="15" t="e">
        <f t="shared" si="8"/>
        <v>#DIV/0!</v>
      </c>
      <c r="L66" s="15">
        <f t="shared" si="9"/>
        <v>0.8104510836508666</v>
      </c>
    </row>
    <row r="67" spans="1:12" ht="15" customHeight="1" x14ac:dyDescent="0.45">
      <c r="A67" s="14" t="str">
        <f>'1_Raw_Data'!A68</f>
        <v>2016 Q1</v>
      </c>
      <c r="B67" s="15">
        <f>IFERROR(IF('1_Raw_Data'!C68&lt;&gt;"",LN('1_Raw_Data'!C68/'1_Raw_Data'!C67),""),"")</f>
        <v>-6.8359405841031586E-3</v>
      </c>
      <c r="C67" s="15">
        <f t="shared" si="5"/>
        <v>1.158996869243222E-2</v>
      </c>
      <c r="D67" s="16">
        <f t="shared" si="6"/>
        <v>0</v>
      </c>
      <c r="E67" s="9">
        <f>IF('1_Raw_Data'!D68&lt;&gt;"",100*('1_Raw_Data'!D68-'1_Raw_Data'!D64)/'1_Raw_Data'!D64,"")</f>
        <v>6.487935656836469</v>
      </c>
      <c r="F67" s="9">
        <f>'1_Raw_Data'!E68</f>
        <v>26.480609999999999</v>
      </c>
      <c r="G67" s="9">
        <f>IF('1_Raw_Data'!F68&lt;&gt;"",100*('1_Raw_Data'!F68-'1_Raw_Data'!F64)/'1_Raw_Data'!F64,"")</f>
        <v>1664.6167557955173</v>
      </c>
      <c r="H67" s="9">
        <f>'1_Raw_Data'!G68</f>
        <v>7</v>
      </c>
      <c r="I67" s="9">
        <f>IF('1_Raw_Data'!H68&lt;&gt;"", '1_Raw_Data'!H68-'1_Raw_Data'!I68,"")</f>
        <v>2.1900000000000004</v>
      </c>
      <c r="J67" s="15">
        <f t="shared" si="7"/>
        <v>0.44527330891387729</v>
      </c>
      <c r="K67" s="15" t="e">
        <f t="shared" si="8"/>
        <v>#DIV/0!</v>
      </c>
      <c r="L67" s="15">
        <f t="shared" si="9"/>
        <v>0.15484655128106678</v>
      </c>
    </row>
    <row r="68" spans="1:12" ht="15" customHeight="1" x14ac:dyDescent="0.45">
      <c r="A68" s="14" t="str">
        <f>'1_Raw_Data'!A69</f>
        <v>2016 Q2</v>
      </c>
      <c r="B68" s="15">
        <f>IFERROR(IF('1_Raw_Data'!C69&lt;&gt;"",LN('1_Raw_Data'!C69/'1_Raw_Data'!C68),""),"")</f>
        <v>1.158996869243222E-2</v>
      </c>
      <c r="C68" s="15">
        <f t="shared" ref="C68:C104" si="10">IF(B69&lt;&gt;"",B69,"")</f>
        <v>-1.2903562885294016E-2</v>
      </c>
      <c r="D68" s="16">
        <f t="shared" ref="D68:D99" si="11">IF(C68&lt;&gt;"",IF(C68&lt;0,1,0),"")</f>
        <v>1</v>
      </c>
      <c r="E68" s="9">
        <f>IF('1_Raw_Data'!D69&lt;&gt;"",100*('1_Raw_Data'!D69-'1_Raw_Data'!D65)/'1_Raw_Data'!D65,"")</f>
        <v>6.1224489795918569</v>
      </c>
      <c r="F68" s="9">
        <f>'1_Raw_Data'!E69</f>
        <v>26.659459999999999</v>
      </c>
      <c r="G68" s="9">
        <f>IF('1_Raw_Data'!F69&lt;&gt;"",100*('1_Raw_Data'!F69-'1_Raw_Data'!F65)/'1_Raw_Data'!F65,"")</f>
        <v>-110.48230602327804</v>
      </c>
      <c r="H68" s="9">
        <f>'1_Raw_Data'!G69</f>
        <v>7</v>
      </c>
      <c r="I68" s="9">
        <f>IF('1_Raw_Data'!H69&lt;&gt;"", '1_Raw_Data'!H69-'1_Raw_Data'!I69,"")</f>
        <v>1.5150000000000006</v>
      </c>
      <c r="J68" s="15">
        <f t="shared" ref="J68:J104" si="12">IF(E68&lt;&gt;"", (E68-AVERAGE($E$4:$E$104))/STDEV($E$4:$E$104),"")</f>
        <v>0.28767276088566146</v>
      </c>
      <c r="K68" s="15" t="e">
        <f t="shared" ref="K68:K104" si="13">IF(G68&lt;&gt;"", (G68-AVERAGE($G$4:$G$104))/STDEV($G$4:$G$104),"")</f>
        <v>#DIV/0!</v>
      </c>
      <c r="L68" s="15">
        <f t="shared" ref="L68:L104" si="14">IF(I68&lt;&gt;"", (I68-AVERAGE($I$4:$I$104))/STDEV($I$4:$I$104),"")</f>
        <v>-0.22018146511691222</v>
      </c>
    </row>
    <row r="69" spans="1:12" ht="15" customHeight="1" x14ac:dyDescent="0.45">
      <c r="A69" s="14" t="str">
        <f>'1_Raw_Data'!A70</f>
        <v>2016 Q3</v>
      </c>
      <c r="B69" s="15">
        <f>IFERROR(IF('1_Raw_Data'!C70&lt;&gt;"",LN('1_Raw_Data'!C70/'1_Raw_Data'!C69),""),"")</f>
        <v>-1.2903562885294016E-2</v>
      </c>
      <c r="C69" s="15">
        <f t="shared" si="10"/>
        <v>-3.4115953290507026E-2</v>
      </c>
      <c r="D69" s="16">
        <f t="shared" si="11"/>
        <v>1</v>
      </c>
      <c r="E69" s="9">
        <f>IF('1_Raw_Data'!D70&lt;&gt;"",100*('1_Raw_Data'!D70-'1_Raw_Data'!D66)/'1_Raw_Data'!D66,"")</f>
        <v>5.9855521155830873</v>
      </c>
      <c r="F69" s="9">
        <f>'1_Raw_Data'!E70</f>
        <v>26.960419999999999</v>
      </c>
      <c r="G69" s="9">
        <f>IF('1_Raw_Data'!F70&lt;&gt;"",100*('1_Raw_Data'!F70-'1_Raw_Data'!F66)/'1_Raw_Data'!F66,"")</f>
        <v>-167.71075343353422</v>
      </c>
      <c r="H69" s="9">
        <f>'1_Raw_Data'!G70</f>
        <v>7</v>
      </c>
      <c r="I69" s="9">
        <f>IF('1_Raw_Data'!H70&lt;&gt;"", '1_Raw_Data'!H70-'1_Raw_Data'!I70,"")</f>
        <v>1.37</v>
      </c>
      <c r="J69" s="15">
        <f t="shared" si="12"/>
        <v>0.22864182450850173</v>
      </c>
      <c r="K69" s="15" t="e">
        <f t="shared" si="13"/>
        <v>#DIV/0!</v>
      </c>
      <c r="L69" s="15">
        <f t="shared" si="14"/>
        <v>-0.3007430390098117</v>
      </c>
    </row>
    <row r="70" spans="1:12" ht="15" customHeight="1" x14ac:dyDescent="0.45">
      <c r="A70" s="14" t="str">
        <f>'1_Raw_Data'!A71</f>
        <v>2016 Q4</v>
      </c>
      <c r="B70" s="15">
        <f>IFERROR(IF('1_Raw_Data'!C71&lt;&gt;"",LN('1_Raw_Data'!C71/'1_Raw_Data'!C70),""),"")</f>
        <v>-3.4115953290507026E-2</v>
      </c>
      <c r="C70" s="15">
        <f t="shared" si="10"/>
        <v>2.8410403351534209E-2</v>
      </c>
      <c r="D70" s="16">
        <f t="shared" si="11"/>
        <v>0</v>
      </c>
      <c r="E70" s="9">
        <f>IF('1_Raw_Data'!D71&lt;&gt;"",100*('1_Raw_Data'!D71-'1_Raw_Data'!D67)/'1_Raw_Data'!D67,"")</f>
        <v>6.5295629820051433</v>
      </c>
      <c r="F70" s="9">
        <f>'1_Raw_Data'!E71</f>
        <v>26.75515</v>
      </c>
      <c r="G70" s="9">
        <f>IF('1_Raw_Data'!F71&lt;&gt;"",100*('1_Raw_Data'!F71-'1_Raw_Data'!F67)/'1_Raw_Data'!F67,"")</f>
        <v>219.62100089798648</v>
      </c>
      <c r="H70" s="9">
        <f>'1_Raw_Data'!G71</f>
        <v>7</v>
      </c>
      <c r="I70" s="9">
        <f>IF('1_Raw_Data'!H71&lt;&gt;"", '1_Raw_Data'!H71-'1_Raw_Data'!I71,"")</f>
        <v>1.455000000000001</v>
      </c>
      <c r="J70" s="15">
        <f t="shared" si="12"/>
        <v>0.46322331822472562</v>
      </c>
      <c r="K70" s="15" t="e">
        <f t="shared" si="13"/>
        <v>#DIV/0!</v>
      </c>
      <c r="L70" s="15">
        <f t="shared" si="14"/>
        <v>-0.25351728879673235</v>
      </c>
    </row>
    <row r="71" spans="1:12" ht="15" customHeight="1" x14ac:dyDescent="0.45">
      <c r="A71" s="14" t="str">
        <f>'1_Raw_Data'!A72</f>
        <v>2017 Q1</v>
      </c>
      <c r="B71" s="15">
        <f>IFERROR(IF('1_Raw_Data'!C72&lt;&gt;"",LN('1_Raw_Data'!C72/'1_Raw_Data'!C71),""),"")</f>
        <v>2.8410403351534209E-2</v>
      </c>
      <c r="C71" s="15">
        <f t="shared" si="10"/>
        <v>5.6212326748531286E-3</v>
      </c>
      <c r="D71" s="16">
        <f t="shared" si="11"/>
        <v>0</v>
      </c>
      <c r="E71" s="9">
        <f>IF('1_Raw_Data'!D72&lt;&gt;"",100*('1_Raw_Data'!D72-'1_Raw_Data'!D68)/'1_Raw_Data'!D68,"")</f>
        <v>6.3947633434038282</v>
      </c>
      <c r="F71" s="9">
        <f>'1_Raw_Data'!E72</f>
        <v>27.459910000000001</v>
      </c>
      <c r="G71" s="9">
        <f>IF('1_Raw_Data'!F72&lt;&gt;"",100*('1_Raw_Data'!F72-'1_Raw_Data'!F68)/'1_Raw_Data'!F68,"")</f>
        <v>-98.067882419799716</v>
      </c>
      <c r="H71" s="9">
        <f>'1_Raw_Data'!G72</f>
        <v>7</v>
      </c>
      <c r="I71" s="9">
        <f>IF('1_Raw_Data'!H72&lt;&gt;"", '1_Raw_Data'!H72-'1_Raw_Data'!I72,"")</f>
        <v>1.5299999999999994</v>
      </c>
      <c r="J71" s="15">
        <f t="shared" si="12"/>
        <v>0.4050967208950117</v>
      </c>
      <c r="K71" s="15" t="e">
        <f t="shared" si="13"/>
        <v>#DIV/0!</v>
      </c>
      <c r="L71" s="15">
        <f t="shared" si="14"/>
        <v>-0.2118475091969578</v>
      </c>
    </row>
    <row r="72" spans="1:12" ht="15" customHeight="1" x14ac:dyDescent="0.45">
      <c r="A72" s="14" t="str">
        <f>'1_Raw_Data'!A73</f>
        <v>2017 Q2</v>
      </c>
      <c r="B72" s="15">
        <f>IFERROR(IF('1_Raw_Data'!C73&lt;&gt;"",LN('1_Raw_Data'!C73/'1_Raw_Data'!C72),""),"")</f>
        <v>5.6212326748531286E-3</v>
      </c>
      <c r="C72" s="15">
        <f t="shared" si="10"/>
        <v>8.3482507028112815E-2</v>
      </c>
      <c r="D72" s="16">
        <f t="shared" si="11"/>
        <v>0</v>
      </c>
      <c r="E72" s="9">
        <f>IF('1_Raw_Data'!D73&lt;&gt;"",100*('1_Raw_Data'!D73-'1_Raw_Data'!D69)/'1_Raw_Data'!D69,"")</f>
        <v>5.3254437869822393</v>
      </c>
      <c r="F72" s="9">
        <f>'1_Raw_Data'!E73</f>
        <v>27.84712</v>
      </c>
      <c r="G72" s="9">
        <f>IF('1_Raw_Data'!F73&lt;&gt;"",100*('1_Raw_Data'!F73-'1_Raw_Data'!F69)/'1_Raw_Data'!F69,"")</f>
        <v>24.889038081519377</v>
      </c>
      <c r="H72" s="9">
        <f>'1_Raw_Data'!G73</f>
        <v>7</v>
      </c>
      <c r="I72" s="9">
        <f>IF('1_Raw_Data'!H73&lt;&gt;"", '1_Raw_Data'!H73-'1_Raw_Data'!I73,"")</f>
        <v>1.3949999999999996</v>
      </c>
      <c r="J72" s="15">
        <f t="shared" si="12"/>
        <v>-5.6001750271806698E-2</v>
      </c>
      <c r="K72" s="15" t="e">
        <f t="shared" si="13"/>
        <v>#DIV/0!</v>
      </c>
      <c r="L72" s="15">
        <f t="shared" si="14"/>
        <v>-0.28685311247655348</v>
      </c>
    </row>
    <row r="73" spans="1:12" ht="15" customHeight="1" x14ac:dyDescent="0.45">
      <c r="A73" s="14" t="str">
        <f>'1_Raw_Data'!A74</f>
        <v>2017 Q3</v>
      </c>
      <c r="B73" s="15">
        <f>IFERROR(IF('1_Raw_Data'!C74&lt;&gt;"",LN('1_Raw_Data'!C74/'1_Raw_Data'!C73),""),"")</f>
        <v>8.3482507028112815E-2</v>
      </c>
      <c r="C73" s="15">
        <f t="shared" si="10"/>
        <v>6.7845405115742927E-2</v>
      </c>
      <c r="D73" s="16">
        <f t="shared" si="11"/>
        <v>0</v>
      </c>
      <c r="E73" s="9">
        <f>IF('1_Raw_Data'!D74&lt;&gt;"",100*('1_Raw_Data'!D74-'1_Raw_Data'!D70)/'1_Raw_Data'!D70,"")</f>
        <v>4.8198636806231701</v>
      </c>
      <c r="F73" s="9">
        <f>'1_Raw_Data'!E74</f>
        <v>27.584119999999999</v>
      </c>
      <c r="G73" s="9">
        <f>IF('1_Raw_Data'!F74&lt;&gt;"",100*('1_Raw_Data'!F74-'1_Raw_Data'!F70)/'1_Raw_Data'!F70,"")</f>
        <v>-178.28205128201435</v>
      </c>
      <c r="H73" s="9">
        <f>'1_Raw_Data'!G74</f>
        <v>6.75</v>
      </c>
      <c r="I73" s="9">
        <f>IF('1_Raw_Data'!H74&lt;&gt;"", '1_Raw_Data'!H74-'1_Raw_Data'!I74,"")</f>
        <v>1.3600000000000003</v>
      </c>
      <c r="J73" s="15">
        <f t="shared" si="12"/>
        <v>-0.27401161710212374</v>
      </c>
      <c r="K73" s="15" t="e">
        <f t="shared" si="13"/>
        <v>#DIV/0!</v>
      </c>
      <c r="L73" s="15">
        <f t="shared" si="14"/>
        <v>-0.30629900962311496</v>
      </c>
    </row>
    <row r="74" spans="1:12" ht="15" customHeight="1" x14ac:dyDescent="0.45">
      <c r="A74" s="14" t="str">
        <f>'1_Raw_Data'!A75</f>
        <v>2017 Q4</v>
      </c>
      <c r="B74" s="15">
        <f>IFERROR(IF('1_Raw_Data'!C75&lt;&gt;"",LN('1_Raw_Data'!C75/'1_Raw_Data'!C74),""),"")</f>
        <v>6.7845405115742927E-2</v>
      </c>
      <c r="C74" s="15">
        <f t="shared" si="10"/>
        <v>-7.970159593071717E-2</v>
      </c>
      <c r="D74" s="16">
        <f t="shared" si="11"/>
        <v>1</v>
      </c>
      <c r="E74" s="9">
        <f>IF('1_Raw_Data'!D75&lt;&gt;"",100*('1_Raw_Data'!D75-'1_Raw_Data'!D71)/'1_Raw_Data'!D71,"")</f>
        <v>4.7779922779922739</v>
      </c>
      <c r="F74" s="9">
        <f>'1_Raw_Data'!E75</f>
        <v>26.940460000000002</v>
      </c>
      <c r="G74" s="9">
        <f>IF('1_Raw_Data'!F75&lt;&gt;"",100*('1_Raw_Data'!F75-'1_Raw_Data'!F71)/'1_Raw_Data'!F71,"")</f>
        <v>-173.57672308881575</v>
      </c>
      <c r="H74" s="9">
        <f>'1_Raw_Data'!G75</f>
        <v>6.75</v>
      </c>
      <c r="I74" s="9">
        <f>IF('1_Raw_Data'!H75&lt;&gt;"", '1_Raw_Data'!H75-'1_Raw_Data'!I75,"")</f>
        <v>1.1649999999999991</v>
      </c>
      <c r="J74" s="15">
        <f t="shared" si="12"/>
        <v>-0.29206687441297441</v>
      </c>
      <c r="K74" s="15" t="e">
        <f t="shared" si="13"/>
        <v>#DIV/0!</v>
      </c>
      <c r="L74" s="15">
        <f t="shared" si="14"/>
        <v>-0.4146404365825318</v>
      </c>
    </row>
    <row r="75" spans="1:12" ht="15" customHeight="1" x14ac:dyDescent="0.45">
      <c r="A75" s="14" t="str">
        <f>'1_Raw_Data'!A76</f>
        <v>2018 Q1</v>
      </c>
      <c r="B75" s="15">
        <f>IFERROR(IF('1_Raw_Data'!C76&lt;&gt;"",LN('1_Raw_Data'!C76/'1_Raw_Data'!C75),""),"")</f>
        <v>-7.970159593071717E-2</v>
      </c>
      <c r="C75" s="15">
        <f t="shared" si="10"/>
        <v>5.4276002127052726E-2</v>
      </c>
      <c r="D75" s="16">
        <f t="shared" si="11"/>
        <v>0</v>
      </c>
      <c r="E75" s="9">
        <f>IF('1_Raw_Data'!D76&lt;&gt;"",100*('1_Raw_Data'!D76-'1_Raw_Data'!D72)/'1_Raw_Data'!D72,"")</f>
        <v>4.0227165168007506</v>
      </c>
      <c r="F75" s="9">
        <f>'1_Raw_Data'!E76</f>
        <v>26.570060000000002</v>
      </c>
      <c r="G75" s="9">
        <f>IF('1_Raw_Data'!F76&lt;&gt;"",100*('1_Raw_Data'!F76-'1_Raw_Data'!F72)/'1_Raw_Data'!F72,"")</f>
        <v>-5183.9133289613856</v>
      </c>
      <c r="H75" s="9">
        <f>'1_Raw_Data'!G76</f>
        <v>6.5</v>
      </c>
      <c r="I75" s="9">
        <f>IF('1_Raw_Data'!H76&lt;&gt;"", '1_Raw_Data'!H76-'1_Raw_Data'!I76,"")</f>
        <v>0.8100000000000005</v>
      </c>
      <c r="J75" s="15">
        <f t="shared" si="12"/>
        <v>-0.61774734729255498</v>
      </c>
      <c r="K75" s="15" t="e">
        <f t="shared" si="13"/>
        <v>#DIV/0!</v>
      </c>
      <c r="L75" s="15">
        <f t="shared" si="14"/>
        <v>-0.61187739335480151</v>
      </c>
    </row>
    <row r="76" spans="1:12" ht="15" customHeight="1" x14ac:dyDescent="0.45">
      <c r="A76" s="14" t="str">
        <f>'1_Raw_Data'!A77</f>
        <v>2018 Q2</v>
      </c>
      <c r="B76" s="15">
        <f>IFERROR(IF('1_Raw_Data'!C77&lt;&gt;"",LN('1_Raw_Data'!C77/'1_Raw_Data'!C76),""),"")</f>
        <v>5.4276002127052726E-2</v>
      </c>
      <c r="C76" s="15">
        <f t="shared" si="10"/>
        <v>-6.5329085497268805E-2</v>
      </c>
      <c r="D76" s="16">
        <f t="shared" si="11"/>
        <v>1</v>
      </c>
      <c r="E76" s="9">
        <f>IF('1_Raw_Data'!D77&lt;&gt;"",100*('1_Raw_Data'!D77-'1_Raw_Data'!D73)/'1_Raw_Data'!D73,"")</f>
        <v>4.4475655430711472</v>
      </c>
      <c r="F76" s="9">
        <f>'1_Raw_Data'!E77</f>
        <v>27.38645</v>
      </c>
      <c r="G76" s="9">
        <f>IF('1_Raw_Data'!F77&lt;&gt;"",100*('1_Raw_Data'!F77-'1_Raw_Data'!F73)/'1_Raw_Data'!F73,"")</f>
        <v>-90.954636545831221</v>
      </c>
      <c r="H76" s="9">
        <f>'1_Raw_Data'!G77</f>
        <v>6.5</v>
      </c>
      <c r="I76" s="9">
        <f>IF('1_Raw_Data'!H77&lt;&gt;"", '1_Raw_Data'!H77-'1_Raw_Data'!I77,"")</f>
        <v>1.8250000000000011</v>
      </c>
      <c r="J76" s="15">
        <f t="shared" si="12"/>
        <v>-0.43454931699976845</v>
      </c>
      <c r="K76" s="15" t="e">
        <f t="shared" si="13"/>
        <v>#DIV/0!</v>
      </c>
      <c r="L76" s="15">
        <f t="shared" si="14"/>
        <v>-4.7946376104506735E-2</v>
      </c>
    </row>
    <row r="77" spans="1:12" ht="15" customHeight="1" x14ac:dyDescent="0.45">
      <c r="A77" s="14" t="str">
        <f>'1_Raw_Data'!A78</f>
        <v>2018 Q3</v>
      </c>
      <c r="B77" s="15">
        <f>IFERROR(IF('1_Raw_Data'!C78&lt;&gt;"",LN('1_Raw_Data'!C78/'1_Raw_Data'!C77),""),"")</f>
        <v>-6.5329085497268805E-2</v>
      </c>
      <c r="C77" s="15">
        <f t="shared" si="10"/>
        <v>-4.453517166747821E-2</v>
      </c>
      <c r="D77" s="16">
        <f t="shared" si="11"/>
        <v>1</v>
      </c>
      <c r="E77" s="9">
        <f>IF('1_Raw_Data'!D78&lt;&gt;"",100*('1_Raw_Data'!D78-'1_Raw_Data'!D74)/'1_Raw_Data'!D74,"")</f>
        <v>4.9698095680445835</v>
      </c>
      <c r="F77" s="9">
        <f>'1_Raw_Data'!E78</f>
        <v>27.28295</v>
      </c>
      <c r="G77" s="9">
        <f>IF('1_Raw_Data'!F78&lt;&gt;"",100*('1_Raw_Data'!F78-'1_Raw_Data'!F74)/'1_Raw_Data'!F74,"")</f>
        <v>169.11519198680145</v>
      </c>
      <c r="H77" s="9">
        <f>'1_Raw_Data'!G78</f>
        <v>6.5</v>
      </c>
      <c r="I77" s="9">
        <f>IF('1_Raw_Data'!H78&lt;&gt;"", '1_Raw_Data'!H78-'1_Raw_Data'!I78,"")</f>
        <v>2.13</v>
      </c>
      <c r="J77" s="15">
        <f t="shared" si="12"/>
        <v>-0.20935384568799406</v>
      </c>
      <c r="K77" s="15" t="e">
        <f t="shared" si="13"/>
        <v>#DIV/0!</v>
      </c>
      <c r="L77" s="15">
        <f t="shared" si="14"/>
        <v>0.12151072760124614</v>
      </c>
    </row>
    <row r="78" spans="1:12" ht="15" customHeight="1" x14ac:dyDescent="0.45">
      <c r="A78" s="14" t="str">
        <f>'1_Raw_Data'!A79</f>
        <v>2018 Q4</v>
      </c>
      <c r="B78" s="15">
        <f>IFERROR(IF('1_Raw_Data'!C79&lt;&gt;"",LN('1_Raw_Data'!C79/'1_Raw_Data'!C78),""),"")</f>
        <v>-4.453517166747821E-2</v>
      </c>
      <c r="C78" s="15">
        <f t="shared" si="10"/>
        <v>0.10989667371469929</v>
      </c>
      <c r="D78" s="16">
        <f t="shared" si="11"/>
        <v>0</v>
      </c>
      <c r="E78" s="9">
        <f>IF('1_Raw_Data'!D79&lt;&gt;"",100*('1_Raw_Data'!D79-'1_Raw_Data'!D75)/'1_Raw_Data'!D75,"")</f>
        <v>4.9286043298019493</v>
      </c>
      <c r="F78" s="9">
        <f>'1_Raw_Data'!E79</f>
        <v>27.267980000000001</v>
      </c>
      <c r="G78" s="9">
        <f>IF('1_Raw_Data'!F79&lt;&gt;"",100*('1_Raw_Data'!F79-'1_Raw_Data'!F75)/'1_Raw_Data'!F75,"")</f>
        <v>-34.292879729641683</v>
      </c>
      <c r="H78" s="9">
        <f>'1_Raw_Data'!G79</f>
        <v>6.75</v>
      </c>
      <c r="I78" s="9">
        <f>IF('1_Raw_Data'!H79&lt;&gt;"", '1_Raw_Data'!H79-'1_Raw_Data'!I79,"")</f>
        <v>1.4800000000000004</v>
      </c>
      <c r="J78" s="15">
        <f t="shared" si="12"/>
        <v>-0.2271218480065193</v>
      </c>
      <c r="K78" s="15" t="e">
        <f t="shared" si="13"/>
        <v>#DIV/0!</v>
      </c>
      <c r="L78" s="15">
        <f t="shared" si="14"/>
        <v>-0.23962736226347417</v>
      </c>
    </row>
    <row r="79" spans="1:12" ht="15" customHeight="1" x14ac:dyDescent="0.45">
      <c r="A79" s="14" t="str">
        <f>'1_Raw_Data'!A80</f>
        <v>2019 Q1</v>
      </c>
      <c r="B79" s="15">
        <f>IFERROR(IF('1_Raw_Data'!C80&lt;&gt;"",LN('1_Raw_Data'!C80/'1_Raw_Data'!C79),""),"")</f>
        <v>0.10989667371469929</v>
      </c>
      <c r="C79" s="15">
        <f t="shared" si="10"/>
        <v>4.1860318146124585E-4</v>
      </c>
      <c r="D79" s="16">
        <f t="shared" si="11"/>
        <v>0</v>
      </c>
      <c r="E79" s="9">
        <f>IF('1_Raw_Data'!D80&lt;&gt;"",100*('1_Raw_Data'!D80-'1_Raw_Data'!D76)/'1_Raw_Data'!D76,"")</f>
        <v>4.1856232939035438</v>
      </c>
      <c r="F79" s="9">
        <f>'1_Raw_Data'!E80</f>
        <v>27.473299999999998</v>
      </c>
      <c r="G79" s="9">
        <f>IF('1_Raw_Data'!F80&lt;&gt;"",100*('1_Raw_Data'!F80-'1_Raw_Data'!F76)/'1_Raw_Data'!F76,"")</f>
        <v>27.465210982607459</v>
      </c>
      <c r="H79" s="9">
        <f>'1_Raw_Data'!G80</f>
        <v>6.75</v>
      </c>
      <c r="I79" s="9">
        <f>IF('1_Raw_Data'!H80&lt;&gt;"", '1_Raw_Data'!H80-'1_Raw_Data'!I80,"")</f>
        <v>1.2299999999999995</v>
      </c>
      <c r="J79" s="15">
        <f t="shared" si="12"/>
        <v>-0.54750074475572041</v>
      </c>
      <c r="K79" s="15" t="e">
        <f t="shared" si="13"/>
        <v>#DIV/0!</v>
      </c>
      <c r="L79" s="15">
        <f t="shared" si="14"/>
        <v>-0.37852662759605954</v>
      </c>
    </row>
    <row r="80" spans="1:12" ht="15" customHeight="1" x14ac:dyDescent="0.45">
      <c r="A80" s="14" t="str">
        <f>'1_Raw_Data'!A81</f>
        <v>2019 Q2</v>
      </c>
      <c r="B80" s="15">
        <f>IFERROR(IF('1_Raw_Data'!C81&lt;&gt;"",LN('1_Raw_Data'!C81/'1_Raw_Data'!C80),""),"")</f>
        <v>4.1860318146124585E-4</v>
      </c>
      <c r="C80" s="15">
        <f t="shared" si="10"/>
        <v>-7.1655410152691987E-2</v>
      </c>
      <c r="D80" s="16">
        <f t="shared" si="11"/>
        <v>1</v>
      </c>
      <c r="E80" s="9">
        <f>IF('1_Raw_Data'!D81&lt;&gt;"",100*('1_Raw_Data'!D81-'1_Raw_Data'!D77)/'1_Raw_Data'!D77,"")</f>
        <v>4.4822949350067365</v>
      </c>
      <c r="F80" s="9">
        <f>'1_Raw_Data'!E81</f>
        <v>29.454370000000001</v>
      </c>
      <c r="G80" s="9">
        <f>IF('1_Raw_Data'!F81&lt;&gt;"",100*('1_Raw_Data'!F81-'1_Raw_Data'!F77)/'1_Raw_Data'!F77,"")</f>
        <v>3080.8764940307401</v>
      </c>
      <c r="H80" s="9">
        <f>'1_Raw_Data'!G81</f>
        <v>6.75</v>
      </c>
      <c r="I80" s="9">
        <f>IF('1_Raw_Data'!H81&lt;&gt;"", '1_Raw_Data'!H81-'1_Raw_Data'!I81,"")</f>
        <v>1.04</v>
      </c>
      <c r="J80" s="15">
        <f t="shared" si="12"/>
        <v>-0.41957374732100727</v>
      </c>
      <c r="K80" s="15" t="e">
        <f t="shared" si="13"/>
        <v>#DIV/0!</v>
      </c>
      <c r="L80" s="15">
        <f t="shared" si="14"/>
        <v>-0.48409006924882375</v>
      </c>
    </row>
    <row r="81" spans="1:12" ht="15" customHeight="1" x14ac:dyDescent="0.45">
      <c r="A81" s="14" t="str">
        <f>'1_Raw_Data'!A82</f>
        <v>2019 Q3</v>
      </c>
      <c r="B81" s="15">
        <f>IFERROR(IF('1_Raw_Data'!C82&lt;&gt;"",LN('1_Raw_Data'!C82/'1_Raw_Data'!C81),""),"")</f>
        <v>-7.1655410152691987E-2</v>
      </c>
      <c r="C81" s="15">
        <f t="shared" si="10"/>
        <v>7.1601081202527381E-2</v>
      </c>
      <c r="D81" s="16">
        <f t="shared" si="11"/>
        <v>0</v>
      </c>
      <c r="E81" s="9">
        <f>IF('1_Raw_Data'!D82&lt;&gt;"",100*('1_Raw_Data'!D82-'1_Raw_Data'!D78)/'1_Raw_Data'!D78,"")</f>
        <v>4.115044247787603</v>
      </c>
      <c r="F81" s="9">
        <f>'1_Raw_Data'!E82</f>
        <v>29.01972</v>
      </c>
      <c r="G81" s="9">
        <f>IF('1_Raw_Data'!F82&lt;&gt;"",100*('1_Raw_Data'!F82-'1_Raw_Data'!F78)/'1_Raw_Data'!F78,"")</f>
        <v>-198.39027595271142</v>
      </c>
      <c r="H81" s="9">
        <f>'1_Raw_Data'!G82</f>
        <v>6.5</v>
      </c>
      <c r="I81" s="9">
        <f>IF('1_Raw_Data'!H82&lt;&gt;"", '1_Raw_Data'!H82-'1_Raw_Data'!I82,"")</f>
        <v>1.2150000000000007</v>
      </c>
      <c r="J81" s="15">
        <f t="shared" si="12"/>
        <v>-0.57793494944695301</v>
      </c>
      <c r="K81" s="15" t="e">
        <f t="shared" si="13"/>
        <v>#DIV/0!</v>
      </c>
      <c r="L81" s="15">
        <f t="shared" si="14"/>
        <v>-0.38686058351601393</v>
      </c>
    </row>
    <row r="82" spans="1:12" ht="15" customHeight="1" x14ac:dyDescent="0.45">
      <c r="A82" s="14" t="str">
        <f>'1_Raw_Data'!A83</f>
        <v>2019 Q4</v>
      </c>
      <c r="B82" s="15">
        <f>IFERROR(IF('1_Raw_Data'!C83&lt;&gt;"",LN('1_Raw_Data'!C83/'1_Raw_Data'!C82),""),"")</f>
        <v>7.1601081202527381E-2</v>
      </c>
      <c r="C82" s="15">
        <f t="shared" si="10"/>
        <v>-0.23181056511943385</v>
      </c>
      <c r="D82" s="16">
        <f t="shared" si="11"/>
        <v>1</v>
      </c>
      <c r="E82" s="9">
        <f>IF('1_Raw_Data'!D83&lt;&gt;"",100*('1_Raw_Data'!D83-'1_Raw_Data'!D79)/'1_Raw_Data'!D79,"")</f>
        <v>3.6874451273046494</v>
      </c>
      <c r="F82" s="9">
        <f>'1_Raw_Data'!E83</f>
        <v>28.790970000000002</v>
      </c>
      <c r="G82" s="9">
        <f>IF('1_Raw_Data'!F83&lt;&gt;"",100*('1_Raw_Data'!F83-'1_Raw_Data'!F79)/'1_Raw_Data'!F79,"")</f>
        <v>-230.47375160063794</v>
      </c>
      <c r="H82" s="9">
        <f>'1_Raw_Data'!G83</f>
        <v>6.5</v>
      </c>
      <c r="I82" s="9">
        <f>IF('1_Raw_Data'!H83&lt;&gt;"", '1_Raw_Data'!H83-'1_Raw_Data'!I83,"")</f>
        <v>1.29</v>
      </c>
      <c r="J82" s="15">
        <f t="shared" si="12"/>
        <v>-0.76231884062609445</v>
      </c>
      <c r="K82" s="15" t="e">
        <f t="shared" si="13"/>
        <v>#DIV/0!</v>
      </c>
      <c r="L82" s="15">
        <f t="shared" si="14"/>
        <v>-0.34519080391623891</v>
      </c>
    </row>
    <row r="83" spans="1:12" ht="15" customHeight="1" x14ac:dyDescent="0.45">
      <c r="A83" s="14" t="str">
        <f>'1_Raw_Data'!A84</f>
        <v>2020 Q1</v>
      </c>
      <c r="B83" s="15">
        <f>IFERROR(IF('1_Raw_Data'!C84&lt;&gt;"",LN('1_Raw_Data'!C84/'1_Raw_Data'!C83),""),"")</f>
        <v>-0.23181056511943385</v>
      </c>
      <c r="C83" s="15">
        <f t="shared" si="10"/>
        <v>0.20513461944920403</v>
      </c>
      <c r="D83" s="16">
        <f t="shared" si="11"/>
        <v>0</v>
      </c>
      <c r="E83" s="9">
        <f>IF('1_Raw_Data'!D84&lt;&gt;"",100*('1_Raw_Data'!D84-'1_Raw_Data'!D80)/'1_Raw_Data'!D80,"")</f>
        <v>4.4978165938864683</v>
      </c>
      <c r="F83" s="9">
        <f>'1_Raw_Data'!E84</f>
        <v>29.76576</v>
      </c>
      <c r="G83" s="9">
        <f>IF('1_Raw_Data'!F84&lt;&gt;"",100*('1_Raw_Data'!F84-'1_Raw_Data'!F80)/'1_Raw_Data'!F80,"")</f>
        <v>16.677108701594566</v>
      </c>
      <c r="H83" s="9">
        <f>'1_Raw_Data'!G84</f>
        <v>5.25</v>
      </c>
      <c r="I83" s="9">
        <f>IF('1_Raw_Data'!H84&lt;&gt;"", '1_Raw_Data'!H84-'1_Raw_Data'!I84,"")</f>
        <v>5.0050000000000008</v>
      </c>
      <c r="J83" s="15">
        <f t="shared" si="12"/>
        <v>-0.4128806936529647</v>
      </c>
      <c r="K83" s="15" t="e">
        <f t="shared" si="13"/>
        <v>#DIV/0!</v>
      </c>
      <c r="L83" s="15">
        <f t="shared" si="14"/>
        <v>1.7188522789259726</v>
      </c>
    </row>
    <row r="84" spans="1:12" ht="15" customHeight="1" x14ac:dyDescent="0.45">
      <c r="A84" s="14" t="str">
        <f>'1_Raw_Data'!A85</f>
        <v>2020 Q2</v>
      </c>
      <c r="B84" s="15">
        <f>IFERROR(IF('1_Raw_Data'!C85&lt;&gt;"",LN('1_Raw_Data'!C85/'1_Raw_Data'!C84),""),"")</f>
        <v>0.20513461944920403</v>
      </c>
      <c r="C84" s="15">
        <f t="shared" si="10"/>
        <v>-5.6598813495457277E-3</v>
      </c>
      <c r="D84" s="16">
        <f t="shared" si="11"/>
        <v>1</v>
      </c>
      <c r="E84" s="9">
        <f>IF('1_Raw_Data'!D85&lt;&gt;"",100*('1_Raw_Data'!D85-'1_Raw_Data'!D81)/'1_Raw_Data'!D81,"")</f>
        <v>2.402402402402394</v>
      </c>
      <c r="F84" s="9">
        <f>'1_Raw_Data'!E85</f>
        <v>24.264199999999999</v>
      </c>
      <c r="G84" s="9">
        <f>IF('1_Raw_Data'!F85&lt;&gt;"",100*('1_Raw_Data'!F85-'1_Raw_Data'!F81)/'1_Raw_Data'!F81,"")</f>
        <v>-2967.2325460204188</v>
      </c>
      <c r="H84" s="9">
        <f>'1_Raw_Data'!G85</f>
        <v>3.75</v>
      </c>
      <c r="I84" s="9">
        <f>IF('1_Raw_Data'!H85&lt;&gt;"", '1_Raw_Data'!H85-'1_Raw_Data'!I85,"")</f>
        <v>4.995000000000001</v>
      </c>
      <c r="J84" s="15">
        <f t="shared" si="12"/>
        <v>-1.3164387314278123</v>
      </c>
      <c r="K84" s="15" t="e">
        <f t="shared" si="13"/>
        <v>#DIV/0!</v>
      </c>
      <c r="L84" s="15">
        <f t="shared" si="14"/>
        <v>1.7132963083126693</v>
      </c>
    </row>
    <row r="85" spans="1:12" ht="15" customHeight="1" x14ac:dyDescent="0.45">
      <c r="A85" s="14" t="str">
        <f>'1_Raw_Data'!A86</f>
        <v>2020 Q3</v>
      </c>
      <c r="B85" s="15">
        <f>IFERROR(IF('1_Raw_Data'!C86&lt;&gt;"",LN('1_Raw_Data'!C86/'1_Raw_Data'!C85),""),"")</f>
        <v>-5.6598813495457277E-3</v>
      </c>
      <c r="C85" s="15">
        <f t="shared" si="10"/>
        <v>8.6034248268850061E-2</v>
      </c>
      <c r="D85" s="16">
        <f t="shared" si="11"/>
        <v>0</v>
      </c>
      <c r="E85" s="9">
        <f>IF('1_Raw_Data'!D86&lt;&gt;"",100*('1_Raw_Data'!D86-'1_Raw_Data'!D82)/'1_Raw_Data'!D82,"")</f>
        <v>3.1024224394390374</v>
      </c>
      <c r="F85" s="9">
        <f>'1_Raw_Data'!E86</f>
        <v>30.8066</v>
      </c>
      <c r="G85" s="9">
        <f>IF('1_Raw_Data'!F86&lt;&gt;"",100*('1_Raw_Data'!F86-'1_Raw_Data'!F82)/'1_Raw_Data'!F82,"")</f>
        <v>-1887.7896297245868</v>
      </c>
      <c r="H85" s="9">
        <f>'1_Raw_Data'!G86</f>
        <v>3.5</v>
      </c>
      <c r="I85" s="9">
        <f>IF('1_Raw_Data'!H86&lt;&gt;"", '1_Raw_Data'!H86-'1_Raw_Data'!I86,"")</f>
        <v>5.7299999999999995</v>
      </c>
      <c r="J85" s="15">
        <f t="shared" si="12"/>
        <v>-1.0145849339120419</v>
      </c>
      <c r="K85" s="15" t="e">
        <f t="shared" si="13"/>
        <v>#DIV/0!</v>
      </c>
      <c r="L85" s="15">
        <f t="shared" si="14"/>
        <v>2.1216601483904678</v>
      </c>
    </row>
    <row r="86" spans="1:12" ht="15" customHeight="1" x14ac:dyDescent="0.45">
      <c r="A86" s="14" t="str">
        <f>'1_Raw_Data'!A87</f>
        <v>2020 Q4</v>
      </c>
      <c r="B86" s="15">
        <f>IFERROR(IF('1_Raw_Data'!C87&lt;&gt;"",LN('1_Raw_Data'!C87/'1_Raw_Data'!C86),""),"")</f>
        <v>8.6034248268850061E-2</v>
      </c>
      <c r="C86" s="15">
        <f t="shared" si="10"/>
        <v>0.12451470068107462</v>
      </c>
      <c r="D86" s="16">
        <f t="shared" si="11"/>
        <v>0</v>
      </c>
      <c r="E86" s="9">
        <f>IF('1_Raw_Data'!D87&lt;&gt;"",100*('1_Raw_Data'!D87-'1_Raw_Data'!D83)/'1_Raw_Data'!D83,"")</f>
        <v>3.1752751905165115</v>
      </c>
      <c r="F86" s="9">
        <f>'1_Raw_Data'!E87</f>
        <v>32.136139999999997</v>
      </c>
      <c r="G86" s="9">
        <f>IF('1_Raw_Data'!F87&lt;&gt;"",100*('1_Raw_Data'!F87-'1_Raw_Data'!F83)/'1_Raw_Data'!F83,"")</f>
        <v>-638.15452215307459</v>
      </c>
      <c r="H86" s="9">
        <f>'1_Raw_Data'!G87</f>
        <v>3.5</v>
      </c>
      <c r="I86" s="9">
        <f>IF('1_Raw_Data'!H87&lt;&gt;"", '1_Raw_Data'!H87-'1_Raw_Data'!I87,"")</f>
        <v>5.1349999999999998</v>
      </c>
      <c r="J86" s="15">
        <f t="shared" si="12"/>
        <v>-0.98317029088939434</v>
      </c>
      <c r="K86" s="15" t="e">
        <f t="shared" si="13"/>
        <v>#DIV/0!</v>
      </c>
      <c r="L86" s="15">
        <f t="shared" si="14"/>
        <v>1.7910798968989161</v>
      </c>
    </row>
    <row r="87" spans="1:12" ht="15" customHeight="1" x14ac:dyDescent="0.45">
      <c r="A87" s="14" t="str">
        <f>'1_Raw_Data'!A88</f>
        <v>2021 Q1</v>
      </c>
      <c r="B87" s="15">
        <f>IFERROR(IF('1_Raw_Data'!C88&lt;&gt;"",LN('1_Raw_Data'!C88/'1_Raw_Data'!C87),""),"")</f>
        <v>0.12451470068107462</v>
      </c>
      <c r="C87" s="15">
        <f t="shared" si="10"/>
        <v>-2.129337652893272E-2</v>
      </c>
      <c r="D87" s="16">
        <f t="shared" si="11"/>
        <v>1</v>
      </c>
      <c r="E87" s="9">
        <f>IF('1_Raw_Data'!D88&lt;&gt;"",100*('1_Raw_Data'!D88-'1_Raw_Data'!D84)/'1_Raw_Data'!D84,"")</f>
        <v>3.0923526953614733</v>
      </c>
      <c r="F87" s="9">
        <f>'1_Raw_Data'!E88</f>
        <v>32.188189999999999</v>
      </c>
      <c r="G87" s="9">
        <f>IF('1_Raw_Data'!F88&lt;&gt;"",100*('1_Raw_Data'!F88-'1_Raw_Data'!F84)/'1_Raw_Data'!F84,"")</f>
        <v>-73.91611479028829</v>
      </c>
      <c r="H87" s="9">
        <f>'1_Raw_Data'!G88</f>
        <v>3.5</v>
      </c>
      <c r="I87" s="9">
        <f>IF('1_Raw_Data'!H88&lt;&gt;"", '1_Raw_Data'!H88-'1_Raw_Data'!I88,"")</f>
        <v>5.7649999999999997</v>
      </c>
      <c r="J87" s="15">
        <f t="shared" si="12"/>
        <v>-1.0189270817492553</v>
      </c>
      <c r="K87" s="15" t="e">
        <f t="shared" si="13"/>
        <v>#DIV/0!</v>
      </c>
      <c r="L87" s="15">
        <f t="shared" si="14"/>
        <v>2.1411060455370299</v>
      </c>
    </row>
    <row r="88" spans="1:12" ht="15" customHeight="1" x14ac:dyDescent="0.45">
      <c r="A88" s="14" t="str">
        <f>'1_Raw_Data'!A89</f>
        <v>2021 Q2</v>
      </c>
      <c r="B88" s="15">
        <f>IFERROR(IF('1_Raw_Data'!C89&lt;&gt;"",LN('1_Raw_Data'!C89/'1_Raw_Data'!C88),""),"")</f>
        <v>-2.129337652893272E-2</v>
      </c>
      <c r="C88" s="15">
        <f t="shared" si="10"/>
        <v>-5.1509596250248597E-2</v>
      </c>
      <c r="D88" s="16">
        <f t="shared" si="11"/>
        <v>1</v>
      </c>
      <c r="E88" s="9">
        <f>IF('1_Raw_Data'!D89&lt;&gt;"",100*('1_Raw_Data'!D89-'1_Raw_Data'!D85)/'1_Raw_Data'!D85,"")</f>
        <v>4.8177628822790055</v>
      </c>
      <c r="F88" s="9">
        <f>'1_Raw_Data'!E89</f>
        <v>34.756230000000002</v>
      </c>
      <c r="G88" s="9">
        <f>IF('1_Raw_Data'!F89&lt;&gt;"",100*('1_Raw_Data'!F89-'1_Raw_Data'!F85)/'1_Raw_Data'!F85,"")</f>
        <v>-97.926663866050504</v>
      </c>
      <c r="H88" s="9">
        <f>'1_Raw_Data'!G89</f>
        <v>3.5</v>
      </c>
      <c r="I88" s="9">
        <f>IF('1_Raw_Data'!H89&lt;&gt;"", '1_Raw_Data'!H89-'1_Raw_Data'!I89,"")</f>
        <v>5.22</v>
      </c>
      <c r="J88" s="15">
        <f t="shared" si="12"/>
        <v>-0.27491749682620326</v>
      </c>
      <c r="K88" s="15" t="e">
        <f t="shared" si="13"/>
        <v>#DIV/0!</v>
      </c>
      <c r="L88" s="15">
        <f t="shared" si="14"/>
        <v>1.838305647111995</v>
      </c>
    </row>
    <row r="89" spans="1:12" ht="15" customHeight="1" x14ac:dyDescent="0.45">
      <c r="A89" s="14" t="str">
        <f>'1_Raw_Data'!A90</f>
        <v>2021 Q3</v>
      </c>
      <c r="B89" s="15">
        <f>IFERROR(IF('1_Raw_Data'!C90&lt;&gt;"",LN('1_Raw_Data'!C90/'1_Raw_Data'!C89),""),"")</f>
        <v>-5.1509596250248597E-2</v>
      </c>
      <c r="C89" s="15">
        <f t="shared" si="10"/>
        <v>0.15777395962187454</v>
      </c>
      <c r="D89" s="16">
        <f t="shared" si="11"/>
        <v>0</v>
      </c>
      <c r="E89" s="9">
        <f>IF('1_Raw_Data'!D90&lt;&gt;"",100*('1_Raw_Data'!D90-'1_Raw_Data'!D86)/'1_Raw_Data'!D86,"")</f>
        <v>4.8227535037097997</v>
      </c>
      <c r="F89" s="9">
        <f>'1_Raw_Data'!E90</f>
        <v>34.80142</v>
      </c>
      <c r="G89" s="9">
        <f>IF('1_Raw_Data'!F90&lt;&gt;"",100*('1_Raw_Data'!F90-'1_Raw_Data'!F86)/'1_Raw_Data'!F86,"")</f>
        <v>-111.92747204203575</v>
      </c>
      <c r="H89" s="9">
        <f>'1_Raw_Data'!G90</f>
        <v>3.5</v>
      </c>
      <c r="I89" s="9">
        <f>IF('1_Raw_Data'!H90&lt;&gt;"", '1_Raw_Data'!H90-'1_Raw_Data'!I90,"")</f>
        <v>5.41</v>
      </c>
      <c r="J89" s="15">
        <f t="shared" si="12"/>
        <v>-0.27276550409578665</v>
      </c>
      <c r="K89" s="15" t="e">
        <f t="shared" si="13"/>
        <v>#DIV/0!</v>
      </c>
      <c r="L89" s="15">
        <f t="shared" si="14"/>
        <v>1.9438690887647596</v>
      </c>
    </row>
    <row r="90" spans="1:12" ht="15" customHeight="1" x14ac:dyDescent="0.45">
      <c r="A90" s="14" t="str">
        <f>'1_Raw_Data'!A91</f>
        <v>2021 Q4</v>
      </c>
      <c r="B90" s="15">
        <f>IFERROR(IF('1_Raw_Data'!C91&lt;&gt;"",LN('1_Raw_Data'!C91/'1_Raw_Data'!C90),""),"")</f>
        <v>0.15777395962187454</v>
      </c>
      <c r="C90" s="15">
        <f t="shared" si="10"/>
        <v>2.76886129032041E-2</v>
      </c>
      <c r="D90" s="16">
        <f t="shared" si="11"/>
        <v>0</v>
      </c>
      <c r="E90" s="9">
        <f>IF('1_Raw_Data'!D91&lt;&gt;"",100*('1_Raw_Data'!D91-'1_Raw_Data'!D87)/'1_Raw_Data'!D87,"")</f>
        <v>5.4575297496922488</v>
      </c>
      <c r="F90" s="9">
        <f>'1_Raw_Data'!E91</f>
        <v>35.290999999999997</v>
      </c>
      <c r="G90" s="9">
        <f>IF('1_Raw_Data'!F91&lt;&gt;"",100*('1_Raw_Data'!F91-'1_Raw_Data'!F87)/'1_Raw_Data'!F87,"")</f>
        <v>-49.593946105574013</v>
      </c>
      <c r="H90" s="9">
        <f>'1_Raw_Data'!G91</f>
        <v>3.75</v>
      </c>
      <c r="I90" s="9">
        <f>IF('1_Raw_Data'!H91&lt;&gt;"", '1_Raw_Data'!H91-'1_Raw_Data'!I91,"")</f>
        <v>5.5399999999999991</v>
      </c>
      <c r="J90" s="15">
        <f t="shared" si="12"/>
        <v>9.5469001999561173E-4</v>
      </c>
      <c r="K90" s="15" t="e">
        <f t="shared" si="13"/>
        <v>#DIV/0!</v>
      </c>
      <c r="L90" s="15">
        <f t="shared" si="14"/>
        <v>2.0160967067377031</v>
      </c>
    </row>
    <row r="91" spans="1:12" ht="15" customHeight="1" x14ac:dyDescent="0.45">
      <c r="A91" s="14" t="str">
        <f>'1_Raw_Data'!A92</f>
        <v>2022 Q1</v>
      </c>
      <c r="B91" s="15">
        <f>IFERROR(IF('1_Raw_Data'!C92&lt;&gt;"",LN('1_Raw_Data'!C92/'1_Raw_Data'!C91),""),"")</f>
        <v>2.76886129032041E-2</v>
      </c>
      <c r="C91" s="15">
        <f t="shared" si="10"/>
        <v>-0.14483049007811671</v>
      </c>
      <c r="D91" s="16">
        <f t="shared" si="11"/>
        <v>1</v>
      </c>
      <c r="E91" s="9">
        <f>IF('1_Raw_Data'!D92&lt;&gt;"",100*('1_Raw_Data'!D92-'1_Raw_Data'!D88)/'1_Raw_Data'!D88,"")</f>
        <v>5.7154438589379843</v>
      </c>
      <c r="F91" s="9">
        <f>'1_Raw_Data'!E92</f>
        <v>34.243389999999998</v>
      </c>
      <c r="G91" s="9">
        <f>IF('1_Raw_Data'!F92&lt;&gt;"",100*('1_Raw_Data'!F92-'1_Raw_Data'!F88)/'1_Raw_Data'!F88,"")</f>
        <v>-741.39668826496529</v>
      </c>
      <c r="H91" s="9">
        <f>'1_Raw_Data'!G92</f>
        <v>4.25</v>
      </c>
      <c r="I91" s="9">
        <f>IF('1_Raw_Data'!H92&lt;&gt;"", '1_Raw_Data'!H92-'1_Raw_Data'!I92,"")</f>
        <v>5.89</v>
      </c>
      <c r="J91" s="15">
        <f t="shared" si="12"/>
        <v>0.11216915416346597</v>
      </c>
      <c r="K91" s="15" t="e">
        <f t="shared" si="13"/>
        <v>#DIV/0!</v>
      </c>
      <c r="L91" s="15">
        <f t="shared" si="14"/>
        <v>2.2105556782033222</v>
      </c>
    </row>
    <row r="92" spans="1:12" ht="15" customHeight="1" x14ac:dyDescent="0.45">
      <c r="A92" s="14" t="str">
        <f>'1_Raw_Data'!A93</f>
        <v>2022 Q2</v>
      </c>
      <c r="B92" s="15">
        <f>IFERROR(IF('1_Raw_Data'!C93&lt;&gt;"",LN('1_Raw_Data'!C93/'1_Raw_Data'!C92),""),"")</f>
        <v>-0.14483049007811671</v>
      </c>
      <c r="C92" s="15">
        <f t="shared" si="10"/>
        <v>-3.8467681380546896E-2</v>
      </c>
      <c r="D92" s="16">
        <f t="shared" si="11"/>
        <v>1</v>
      </c>
      <c r="E92" s="9">
        <f>IF('1_Raw_Data'!D93&lt;&gt;"",100*('1_Raw_Data'!D93-'1_Raw_Data'!D89)/'1_Raw_Data'!D89,"")</f>
        <v>6.6346922462030538</v>
      </c>
      <c r="F92" s="9">
        <f>'1_Raw_Data'!E93</f>
        <v>34.155090000000001</v>
      </c>
      <c r="G92" s="9">
        <f>IF('1_Raw_Data'!F93&lt;&gt;"",100*('1_Raw_Data'!F93-'1_Raw_Data'!F89)/'1_Raw_Data'!F89,"")</f>
        <v>741.96593001840347</v>
      </c>
      <c r="H92" s="9">
        <f>'1_Raw_Data'!G93</f>
        <v>4.75</v>
      </c>
      <c r="I92" s="9">
        <f>IF('1_Raw_Data'!H93&lt;&gt;"", '1_Raw_Data'!H93-'1_Raw_Data'!I93,"")</f>
        <v>5.785000000000001</v>
      </c>
      <c r="J92" s="15">
        <f t="shared" si="12"/>
        <v>0.50855583150893735</v>
      </c>
      <c r="K92" s="15" t="e">
        <f t="shared" si="13"/>
        <v>#DIV/0!</v>
      </c>
      <c r="L92" s="15">
        <f t="shared" si="14"/>
        <v>2.1522179867636373</v>
      </c>
    </row>
    <row r="93" spans="1:12" ht="15" customHeight="1" x14ac:dyDescent="0.45">
      <c r="A93" s="14" t="str">
        <f>'1_Raw_Data'!A94</f>
        <v>2022 Q3</v>
      </c>
      <c r="B93" s="15">
        <f>IFERROR(IF('1_Raw_Data'!C94&lt;&gt;"",LN('1_Raw_Data'!C94/'1_Raw_Data'!C93),""),"")</f>
        <v>-3.8467681380546896E-2</v>
      </c>
      <c r="C93" s="15">
        <f t="shared" si="10"/>
        <v>0.154162926847872</v>
      </c>
      <c r="D93" s="16">
        <f t="shared" si="11"/>
        <v>0</v>
      </c>
      <c r="E93" s="9">
        <f>IF('1_Raw_Data'!D94&lt;&gt;"",100*('1_Raw_Data'!D94-'1_Raw_Data'!D90)/'1_Raw_Data'!D90,"")</f>
        <v>7.6681085332284544</v>
      </c>
      <c r="F93" s="9">
        <f>'1_Raw_Data'!E94</f>
        <v>32.88655</v>
      </c>
      <c r="G93" s="9">
        <f>IF('1_Raw_Data'!F94&lt;&gt;"",100*('1_Raw_Data'!F94-'1_Raw_Data'!F90)/'1_Raw_Data'!F90,"")</f>
        <v>-152.06098450481304</v>
      </c>
      <c r="H93" s="9">
        <f>'1_Raw_Data'!G94</f>
        <v>6.25</v>
      </c>
      <c r="I93" s="9">
        <f>IF('1_Raw_Data'!H94&lt;&gt;"", '1_Raw_Data'!H94-'1_Raw_Data'!I94,"")</f>
        <v>5.2500000000000009</v>
      </c>
      <c r="J93" s="15">
        <f t="shared" si="12"/>
        <v>0.95417254838719401</v>
      </c>
      <c r="K93" s="15" t="e">
        <f t="shared" si="13"/>
        <v>#DIV/0!</v>
      </c>
      <c r="L93" s="15">
        <f t="shared" si="14"/>
        <v>1.8549735589519056</v>
      </c>
    </row>
    <row r="94" spans="1:12" ht="15" customHeight="1" x14ac:dyDescent="0.45">
      <c r="A94" s="14" t="str">
        <f>'1_Raw_Data'!A95</f>
        <v>2022 Q4</v>
      </c>
      <c r="B94" s="15">
        <f>IFERROR(IF('1_Raw_Data'!C95&lt;&gt;"",LN('1_Raw_Data'!C95/'1_Raw_Data'!C94),""),"")</f>
        <v>0.154162926847872</v>
      </c>
      <c r="C94" s="15">
        <f t="shared" si="10"/>
        <v>5.1552313609621106E-2</v>
      </c>
      <c r="D94" s="16">
        <f t="shared" si="11"/>
        <v>0</v>
      </c>
      <c r="E94" s="9">
        <f>IF('1_Raw_Data'!D95&lt;&gt;"",100*('1_Raw_Data'!D95-'1_Raw_Data'!D91)/'1_Raw_Data'!D91,"")</f>
        <v>7.3929961089494096</v>
      </c>
      <c r="F94" s="9">
        <f>'1_Raw_Data'!E95</f>
        <v>32.779609999999998</v>
      </c>
      <c r="G94" s="9">
        <f>IF('1_Raw_Data'!F95&lt;&gt;"",100*('1_Raw_Data'!F95-'1_Raw_Data'!F91)/'1_Raw_Data'!F91,"")</f>
        <v>-174.20920424238793</v>
      </c>
      <c r="H94" s="9">
        <f>'1_Raw_Data'!G95</f>
        <v>7</v>
      </c>
      <c r="I94" s="9">
        <f>IF('1_Raw_Data'!H95&lt;&gt;"", '1_Raw_Data'!H95-'1_Raw_Data'!I95,"")</f>
        <v>3.8950000000000005</v>
      </c>
      <c r="J94" s="15">
        <f t="shared" si="12"/>
        <v>0.8355420440891399</v>
      </c>
      <c r="K94" s="15" t="e">
        <f t="shared" si="13"/>
        <v>#DIV/0!</v>
      </c>
      <c r="L94" s="15">
        <f t="shared" si="14"/>
        <v>1.1021395408492956</v>
      </c>
    </row>
    <row r="95" spans="1:12" ht="15" customHeight="1" x14ac:dyDescent="0.45">
      <c r="A95" s="14" t="str">
        <f>'1_Raw_Data'!A96</f>
        <v>2023 Q1</v>
      </c>
      <c r="B95" s="15">
        <f>IFERROR(IF('1_Raw_Data'!C96&lt;&gt;"",LN('1_Raw_Data'!C96/'1_Raw_Data'!C95),""),"")</f>
        <v>5.1552313609621106E-2</v>
      </c>
      <c r="C95" s="15">
        <f t="shared" si="10"/>
        <v>2.9428539026058421E-3</v>
      </c>
      <c r="D95" s="16">
        <f t="shared" si="11"/>
        <v>0</v>
      </c>
      <c r="E95" s="9">
        <f>IF('1_Raw_Data'!D96&lt;&gt;"",100*('1_Raw_Data'!D96-'1_Raw_Data'!D92)/'1_Raw_Data'!D92,"")</f>
        <v>6.9785276073619587</v>
      </c>
      <c r="F95" s="9">
        <f>'1_Raw_Data'!E96</f>
        <v>32.59675</v>
      </c>
      <c r="G95" s="9">
        <f>IF('1_Raw_Data'!F96&lt;&gt;"",100*('1_Raw_Data'!F96-'1_Raw_Data'!F92)/'1_Raw_Data'!F92,"")</f>
        <v>-64.913221078312773</v>
      </c>
      <c r="H95" s="9">
        <f>'1_Raw_Data'!G96</f>
        <v>7.75</v>
      </c>
      <c r="I95" s="9">
        <f>IF('1_Raw_Data'!H96&lt;&gt;"", '1_Raw_Data'!H96-'1_Raw_Data'!I96,"")</f>
        <v>3.1100000000000003</v>
      </c>
      <c r="J95" s="15">
        <f t="shared" si="12"/>
        <v>0.65682017252034897</v>
      </c>
      <c r="K95" s="15" t="e">
        <f t="shared" si="13"/>
        <v>#DIV/0!</v>
      </c>
      <c r="L95" s="15">
        <f t="shared" si="14"/>
        <v>0.66599584770497899</v>
      </c>
    </row>
    <row r="96" spans="1:12" ht="15" customHeight="1" x14ac:dyDescent="0.45">
      <c r="A96" s="14" t="str">
        <f>'1_Raw_Data'!A97</f>
        <v>2023 Q2</v>
      </c>
      <c r="B96" s="15">
        <f>IFERROR(IF('1_Raw_Data'!C97&lt;&gt;"",LN('1_Raw_Data'!C97/'1_Raw_Data'!C96),""),"")</f>
        <v>2.9428539026058421E-3</v>
      </c>
      <c r="C96" s="15">
        <f t="shared" si="10"/>
        <v>-6.1319337279396799E-2</v>
      </c>
      <c r="D96" s="16">
        <f t="shared" si="11"/>
        <v>1</v>
      </c>
      <c r="E96" s="9">
        <f>IF('1_Raw_Data'!D97&lt;&gt;"",100*('1_Raw_Data'!D97-'1_Raw_Data'!D93)/'1_Raw_Data'!D93,"")</f>
        <v>6.1469265367316526</v>
      </c>
      <c r="F96" s="9">
        <f>'1_Raw_Data'!E97</f>
        <v>32.687260000000002</v>
      </c>
      <c r="G96" s="9">
        <f>IF('1_Raw_Data'!F97&lt;&gt;"",100*('1_Raw_Data'!F97-'1_Raw_Data'!F93)/'1_Raw_Data'!F93,"")</f>
        <v>-135.0240017861789</v>
      </c>
      <c r="H96" s="9">
        <f>'1_Raw_Data'!G97</f>
        <v>8.25</v>
      </c>
      <c r="I96" s="9">
        <f>IF('1_Raw_Data'!H97&lt;&gt;"", '1_Raw_Data'!H97-'1_Raw_Data'!I97,"")</f>
        <v>2.4000000000000004</v>
      </c>
      <c r="J96" s="15">
        <f t="shared" si="12"/>
        <v>0.29822766386791688</v>
      </c>
      <c r="K96" s="15" t="e">
        <f t="shared" si="13"/>
        <v>#DIV/0!</v>
      </c>
      <c r="L96" s="15">
        <f t="shared" si="14"/>
        <v>0.27152193416043802</v>
      </c>
    </row>
    <row r="97" spans="1:12" ht="15" customHeight="1" x14ac:dyDescent="0.45">
      <c r="A97" s="14" t="str">
        <f>'1_Raw_Data'!A98</f>
        <v>2023 Q3</v>
      </c>
      <c r="B97" s="15">
        <f>IFERROR(IF('1_Raw_Data'!C98&lt;&gt;"",LN('1_Raw_Data'!C98/'1_Raw_Data'!C97),""),"")</f>
        <v>-6.1319337279396799E-2</v>
      </c>
      <c r="C97" s="15">
        <f t="shared" si="10"/>
        <v>2.4601315707636302E-2</v>
      </c>
      <c r="D97" s="16">
        <f t="shared" si="11"/>
        <v>0</v>
      </c>
      <c r="E97" s="9">
        <f>IF('1_Raw_Data'!D98&lt;&gt;"",100*('1_Raw_Data'!D98-'1_Raw_Data'!D94)/'1_Raw_Data'!D94,"")</f>
        <v>4.967129291453646</v>
      </c>
      <c r="F97" s="9">
        <f>'1_Raw_Data'!E98</f>
        <v>32.004629999999999</v>
      </c>
      <c r="G97" s="9">
        <f>IF('1_Raw_Data'!F98&lt;&gt;"",100*('1_Raw_Data'!F98-'1_Raw_Data'!F94)/'1_Raw_Data'!F94,"")</f>
        <v>-166.86742888253406</v>
      </c>
      <c r="H97" s="9">
        <f>'1_Raw_Data'!G98</f>
        <v>8.25</v>
      </c>
      <c r="I97" s="9">
        <f>IF('1_Raw_Data'!H98&lt;&gt;"", '1_Raw_Data'!H98-'1_Raw_Data'!I98,"")</f>
        <v>2.370000000000001</v>
      </c>
      <c r="J97" s="15">
        <f t="shared" si="12"/>
        <v>-0.21050960070151056</v>
      </c>
      <c r="K97" s="15" t="e">
        <f t="shared" si="13"/>
        <v>#DIV/0!</v>
      </c>
      <c r="L97" s="15">
        <f t="shared" si="14"/>
        <v>0.25485402232052817</v>
      </c>
    </row>
    <row r="98" spans="1:12" ht="15" customHeight="1" x14ac:dyDescent="0.45">
      <c r="A98" s="14" t="str">
        <f>'1_Raw_Data'!A99</f>
        <v>2023 Q4</v>
      </c>
      <c r="B98" s="15">
        <f>IFERROR(IF('1_Raw_Data'!C99&lt;&gt;"",LN('1_Raw_Data'!C99/'1_Raw_Data'!C98),""),"")</f>
        <v>2.4601315707636302E-2</v>
      </c>
      <c r="C98" s="15">
        <f t="shared" si="10"/>
        <v>7.8674228761263978E-3</v>
      </c>
      <c r="D98" s="16">
        <f t="shared" si="11"/>
        <v>0</v>
      </c>
      <c r="E98" s="9">
        <f>IF('1_Raw_Data'!D99&lt;&gt;"",100*('1_Raw_Data'!D99-'1_Raw_Data'!D95)/'1_Raw_Data'!D95,"")</f>
        <v>5.5797101449275281</v>
      </c>
      <c r="F98" s="9">
        <f>'1_Raw_Data'!E99</f>
        <v>32.217469999999999</v>
      </c>
      <c r="G98" s="9">
        <f>IF('1_Raw_Data'!F99&lt;&gt;"",100*('1_Raw_Data'!F99-'1_Raw_Data'!F95)/'1_Raw_Data'!F95,"")</f>
        <v>-116.99931964999041</v>
      </c>
      <c r="H98" s="9">
        <f>'1_Raw_Data'!G99</f>
        <v>8.25</v>
      </c>
      <c r="I98" s="9">
        <f>IF('1_Raw_Data'!H99&lt;&gt;"", '1_Raw_Data'!H99-'1_Raw_Data'!I99,"")</f>
        <v>1.3550000000000004</v>
      </c>
      <c r="J98" s="15">
        <f t="shared" si="12"/>
        <v>5.3639776635332405E-2</v>
      </c>
      <c r="K98" s="15" t="e">
        <f t="shared" si="13"/>
        <v>#DIV/0!</v>
      </c>
      <c r="L98" s="15">
        <f t="shared" si="14"/>
        <v>-0.30907699492976659</v>
      </c>
    </row>
    <row r="99" spans="1:12" ht="15" customHeight="1" x14ac:dyDescent="0.45">
      <c r="A99" s="14" t="str">
        <f>'1_Raw_Data'!A100</f>
        <v>2024 Q1</v>
      </c>
      <c r="B99" s="15">
        <f>IFERROR(IF('1_Raw_Data'!C100&lt;&gt;"",LN('1_Raw_Data'!C100/'1_Raw_Data'!C99),""),"")</f>
        <v>7.8674228761263978E-3</v>
      </c>
      <c r="C99" s="15">
        <f t="shared" si="10"/>
        <v>7.0727530582903639E-2</v>
      </c>
      <c r="D99" s="16">
        <f t="shared" si="11"/>
        <v>0</v>
      </c>
      <c r="E99" s="9">
        <f>IF('1_Raw_Data'!D100&lt;&gt;"",100*('1_Raw_Data'!D100-'1_Raw_Data'!D96)/'1_Raw_Data'!D96,"")</f>
        <v>5.4480286738351369</v>
      </c>
      <c r="F99" s="9">
        <f>'1_Raw_Data'!E100</f>
        <v>32.676900000000003</v>
      </c>
      <c r="G99" s="9">
        <f>IF('1_Raw_Data'!F100&lt;&gt;"",100*('1_Raw_Data'!F100-'1_Raw_Data'!F96)/'1_Raw_Data'!F96,"")</f>
        <v>-135.81720336776274</v>
      </c>
      <c r="H99" s="9">
        <f>'1_Raw_Data'!G100</f>
        <v>8.25</v>
      </c>
      <c r="I99" s="9">
        <f>IF('1_Raw_Data'!H100&lt;&gt;"", '1_Raw_Data'!H100-'1_Raw_Data'!I100,"")</f>
        <v>2.0649999999999995</v>
      </c>
      <c r="J99" s="15">
        <f t="shared" si="12"/>
        <v>-3.142243890775442E-3</v>
      </c>
      <c r="K99" s="15" t="e">
        <f t="shared" si="13"/>
        <v>#DIV/0!</v>
      </c>
      <c r="L99" s="15">
        <f t="shared" si="14"/>
        <v>8.5396918614773845E-2</v>
      </c>
    </row>
    <row r="100" spans="1:12" ht="15" customHeight="1" x14ac:dyDescent="0.45">
      <c r="A100" s="14" t="str">
        <f>'1_Raw_Data'!A101</f>
        <v>2024 Q2</v>
      </c>
      <c r="B100" s="15">
        <f>IFERROR(IF('1_Raw_Data'!C101&lt;&gt;"",LN('1_Raw_Data'!C101/'1_Raw_Data'!C100),""),"")</f>
        <v>7.0727530582903639E-2</v>
      </c>
      <c r="C100" s="15">
        <f t="shared" si="10"/>
        <v>5.9922547039673348E-2</v>
      </c>
      <c r="D100" s="16">
        <f t="shared" ref="D100:D104" si="15">IF(C100&lt;&gt;"",IF(C100&lt;0,1,0),"")</f>
        <v>0</v>
      </c>
      <c r="E100" s="9">
        <f>IF('1_Raw_Data'!D101&lt;&gt;"",100*('1_Raw_Data'!D101-'1_Raw_Data'!D97)/'1_Raw_Data'!D97,"")</f>
        <v>5.1553672316383796</v>
      </c>
      <c r="F100" s="9">
        <f>'1_Raw_Data'!E101</f>
        <v>33.425559999999997</v>
      </c>
      <c r="G100" s="9">
        <f>IF('1_Raw_Data'!F101&lt;&gt;"",100*('1_Raw_Data'!F101-'1_Raw_Data'!F97)/'1_Raw_Data'!F97,"")</f>
        <v>-80.789872024220941</v>
      </c>
      <c r="H100" s="9">
        <f>'1_Raw_Data'!G101</f>
        <v>8.25</v>
      </c>
      <c r="I100" s="9">
        <f>IF('1_Raw_Data'!H101&lt;&gt;"", '1_Raw_Data'!H101-'1_Raw_Data'!I101,"")</f>
        <v>1.2599999999999998</v>
      </c>
      <c r="J100" s="15">
        <f t="shared" si="12"/>
        <v>-0.12934001401104564</v>
      </c>
      <c r="K100" s="15" t="e">
        <f t="shared" si="13"/>
        <v>#DIV/0!</v>
      </c>
      <c r="L100" s="15">
        <f t="shared" si="14"/>
        <v>-0.3618587157561492</v>
      </c>
    </row>
    <row r="101" spans="1:12" ht="15" customHeight="1" x14ac:dyDescent="0.45">
      <c r="A101" s="14" t="str">
        <f>'1_Raw_Data'!A102</f>
        <v>2024 Q3</v>
      </c>
      <c r="B101" s="15">
        <f>IFERROR(IF('1_Raw_Data'!C102&lt;&gt;"",LN('1_Raw_Data'!C102/'1_Raw_Data'!C101),""),"")</f>
        <v>5.9922547039673348E-2</v>
      </c>
      <c r="C101" s="15">
        <f t="shared" si="10"/>
        <v>-2.8008222662692372E-2</v>
      </c>
      <c r="D101" s="16">
        <f t="shared" si="15"/>
        <v>1</v>
      </c>
      <c r="E101" s="9">
        <f>IF('1_Raw_Data'!D102&lt;&gt;"",100*('1_Raw_Data'!D102-'1_Raw_Data'!D98)/'1_Raw_Data'!D98,"")</f>
        <v>4.2797494780793111</v>
      </c>
      <c r="F101" s="9">
        <f>'1_Raw_Data'!E102</f>
        <v>32.22925</v>
      </c>
      <c r="G101" s="9">
        <f>IF('1_Raw_Data'!F102&lt;&gt;"",100*('1_Raw_Data'!F102-'1_Raw_Data'!F98)/'1_Raw_Data'!F98,"")</f>
        <v>-97.642084317873</v>
      </c>
      <c r="H101" s="9">
        <f>'1_Raw_Data'!G102</f>
        <v>8</v>
      </c>
      <c r="I101" s="9">
        <f>IF('1_Raw_Data'!H102&lt;&gt;"", '1_Raw_Data'!H102-'1_Raw_Data'!I102,"")</f>
        <v>0.94500000000000028</v>
      </c>
      <c r="J101" s="15">
        <f t="shared" si="12"/>
        <v>-0.50691284064457443</v>
      </c>
      <c r="K101" s="15" t="e">
        <f t="shared" si="13"/>
        <v>#DIV/0!</v>
      </c>
      <c r="L101" s="15">
        <f t="shared" si="14"/>
        <v>-0.5368717900752058</v>
      </c>
    </row>
    <row r="102" spans="1:12" ht="15" customHeight="1" x14ac:dyDescent="0.45">
      <c r="A102" s="14" t="str">
        <f>'1_Raw_Data'!A103</f>
        <v>2024 Q4</v>
      </c>
      <c r="B102" s="15">
        <f>IFERROR(IF('1_Raw_Data'!C103&lt;&gt;"",LN('1_Raw_Data'!C103/'1_Raw_Data'!C102),""),"")</f>
        <v>-2.8008222662692372E-2</v>
      </c>
      <c r="C102" s="15">
        <f t="shared" si="10"/>
        <v>-1.6477043891335617E-2</v>
      </c>
      <c r="D102" s="16">
        <f t="shared" si="15"/>
        <v>1</v>
      </c>
      <c r="E102" s="9">
        <f>IF('1_Raw_Data'!D103&lt;&gt;"",100*('1_Raw_Data'!D103-'1_Raw_Data'!D99)/'1_Raw_Data'!D99,"")</f>
        <v>2.8826355525051595</v>
      </c>
      <c r="F102" s="9">
        <f>'1_Raw_Data'!E103</f>
        <v>32.073950000000004</v>
      </c>
      <c r="G102" s="9">
        <f>IF('1_Raw_Data'!F103&lt;&gt;"",100*('1_Raw_Data'!F103-'1_Raw_Data'!F99)/'1_Raw_Data'!F99,"")</f>
        <v>-321.98446663497117</v>
      </c>
      <c r="H102" s="9">
        <f>'1_Raw_Data'!G103</f>
        <v>7.75</v>
      </c>
      <c r="I102" s="9">
        <f>IF('1_Raw_Data'!H103&lt;&gt;"", '1_Raw_Data'!H103-'1_Raw_Data'!I103,"")</f>
        <v>1.0950000000000006</v>
      </c>
      <c r="J102" s="15">
        <f t="shared" si="12"/>
        <v>-1.1093586588842708</v>
      </c>
      <c r="K102" s="15" t="e">
        <f t="shared" si="13"/>
        <v>#DIV/0!</v>
      </c>
      <c r="L102" s="15">
        <f t="shared" si="14"/>
        <v>-0.45353223087565475</v>
      </c>
    </row>
    <row r="103" spans="1:12" ht="15" customHeight="1" x14ac:dyDescent="0.45">
      <c r="A103" s="14" t="str">
        <f>'1_Raw_Data'!A104</f>
        <v>2025 Q1</v>
      </c>
      <c r="B103" s="15">
        <f>IFERROR(IF('1_Raw_Data'!C104&lt;&gt;"",LN('1_Raw_Data'!C104/'1_Raw_Data'!C103),""),"")</f>
        <v>-1.6477043891335617E-2</v>
      </c>
      <c r="C103" s="15">
        <f t="shared" si="10"/>
        <v>0.17729236738137269</v>
      </c>
      <c r="D103" s="16">
        <f t="shared" si="15"/>
        <v>0</v>
      </c>
      <c r="E103" s="9">
        <f>IF('1_Raw_Data'!D104&lt;&gt;"",100*('1_Raw_Data'!D104-'1_Raw_Data'!D100)/'1_Raw_Data'!D100,"")</f>
        <v>3.0251529571719935</v>
      </c>
      <c r="F103" s="9">
        <f>'1_Raw_Data'!E104</f>
        <v>32.678879999999999</v>
      </c>
      <c r="G103" s="9">
        <f>IF('1_Raw_Data'!F104&lt;&gt;"",100*('1_Raw_Data'!F104-'1_Raw_Data'!F100)/'1_Raw_Data'!F100,"")</f>
        <v>236.44636015326151</v>
      </c>
      <c r="H103" s="9">
        <f>'1_Raw_Data'!G104</f>
        <v>7.5</v>
      </c>
      <c r="I103" s="9">
        <f>IF('1_Raw_Data'!H104&lt;&gt;"", '1_Raw_Data'!H104-'1_Raw_Data'!I104,"")</f>
        <v>3.5999999999999996</v>
      </c>
      <c r="J103" s="15">
        <f t="shared" si="12"/>
        <v>-1.0479041039648325</v>
      </c>
      <c r="K103" s="15" t="e">
        <f t="shared" si="13"/>
        <v>#DIV/0!</v>
      </c>
      <c r="L103" s="15">
        <f t="shared" si="14"/>
        <v>0.93823840775684486</v>
      </c>
    </row>
    <row r="104" spans="1:12" ht="15" customHeight="1" x14ac:dyDescent="0.45">
      <c r="A104" s="14" t="str">
        <f>'1_Raw_Data'!A105</f>
        <v>2025 Q2</v>
      </c>
      <c r="B104" s="15">
        <f>IFERROR(IF('1_Raw_Data'!C105&lt;&gt;"",LN('1_Raw_Data'!C105/'1_Raw_Data'!C104),""),"")</f>
        <v>0.17729236738137269</v>
      </c>
      <c r="C104" s="15" t="str">
        <f t="shared" si="10"/>
        <v/>
      </c>
      <c r="D104" s="16" t="str">
        <f t="shared" si="15"/>
        <v/>
      </c>
      <c r="E104" s="9">
        <f>IF('1_Raw_Data'!D105&lt;&gt;"",100*('1_Raw_Data'!D105-'1_Raw_Data'!D101)/'1_Raw_Data'!D101,"")</f>
        <v>2.8878441907320429</v>
      </c>
      <c r="F104" s="9">
        <f>'1_Raw_Data'!E105</f>
        <v>33.182589999999998</v>
      </c>
      <c r="G104" s="9">
        <f>IF('1_Raw_Data'!F105&lt;&gt;"",100*('1_Raw_Data'!F105-'1_Raw_Data'!F101)/'1_Raw_Data'!F101,"")</f>
        <v>278.25530358455848</v>
      </c>
      <c r="H104" s="9">
        <f>'1_Raw_Data'!G105</f>
        <v>7.25</v>
      </c>
      <c r="I104" s="9">
        <f>IF('1_Raw_Data'!H105&lt;&gt;"", '1_Raw_Data'!H105-'1_Raw_Data'!I105,"")</f>
        <v>2.38</v>
      </c>
      <c r="J104" s="15">
        <f t="shared" si="12"/>
        <v>-1.1071126557050956</v>
      </c>
      <c r="K104" s="15" t="e">
        <f t="shared" si="13"/>
        <v>#DIV/0!</v>
      </c>
      <c r="L104" s="15">
        <f t="shared" si="14"/>
        <v>0.26040999293383099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1_Raw_Data</vt:lpstr>
      <vt:lpstr>2_Computed_Variables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Sean-Vincent Mofokeng</cp:lastModifiedBy>
  <cp:revision>0</cp:revision>
  <dcterms:created xsi:type="dcterms:W3CDTF">2026-03-11T07:11:35Z</dcterms:created>
  <dcterms:modified xsi:type="dcterms:W3CDTF">2026-06-04T15:01:03Z</dcterms:modified>
  <dc:language>en-US</dc:language>
</cp:coreProperties>
</file>